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s\Plastisol\"/>
    </mc:Choice>
  </mc:AlternateContent>
  <xr:revisionPtr revIDLastSave="0" documentId="13_ncr:1_{A0F26E8A-F660-4042-A9F3-219B8089D72B}" xr6:coauthVersionLast="47" xr6:coauthVersionMax="47" xr10:uidLastSave="{00000000-0000-0000-0000-000000000000}"/>
  <bookViews>
    <workbookView xWindow="0" yWindow="0" windowWidth="14400" windowHeight="15600" activeTab="2" xr2:uid="{00000000-000D-0000-FFFF-FFFF00000000}"/>
  </bookViews>
  <sheets>
    <sheet name="CREADOR FACTURA" sheetId="1" r:id="rId1"/>
    <sheet name="FACTURA" sheetId="7" r:id="rId2"/>
    <sheet name="Ticket" sheetId="8" r:id="rId3"/>
    <sheet name="PRODUCTOS DISPONIBLES" sheetId="5" r:id="rId4"/>
    <sheet name="CLIENTES CONSULTA" sheetId="4" r:id="rId5"/>
    <sheet name="VENTAS CONSULTA" sheetId="2" r:id="rId6"/>
  </sheets>
  <definedNames>
    <definedName name="ciudad_creador">'CREADOR FACTURA'!$C$14</definedName>
    <definedName name="cliente_id">FACTURA!$C$10</definedName>
    <definedName name="cliente_nombre">FACTURA!$C$11</definedName>
    <definedName name="clienteID_creador">'CREADOR FACTURA'!$C$10</definedName>
    <definedName name="descuento_creador">'CREADOR FACTURA'!$G$12</definedName>
    <definedName name="direccion_creador">'CREADOR FACTURA'!$C$13</definedName>
    <definedName name="doc_Clientes">tb_Clientes[Documento]</definedName>
    <definedName name="email_creador">'CREADOR FACTURA'!$C$15</definedName>
    <definedName name="ExternalData_1" localSheetId="4" hidden="1">'CLIENTES CONSULTA'!$A$1:$G$12</definedName>
    <definedName name="ExternalData_1" localSheetId="3" hidden="1">'PRODUCTOS DISPONIBLES'!$A$1:$H$298</definedName>
    <definedName name="ExternalData_1" localSheetId="5" hidden="1">'VENTAS CONSULTA'!$A$1:$L$2</definedName>
    <definedName name="F_ciudad">FACTURA!$C$14</definedName>
    <definedName name="F_dcto">FACTURA!$H$44</definedName>
    <definedName name="F_direccion">FACTURA!$C$13</definedName>
    <definedName name="F_email">FACTURA!$C$15</definedName>
    <definedName name="F_fechavcto">FACTURA!$H$12</definedName>
    <definedName name="F_formapago">FACTURA!$H$14</definedName>
    <definedName name="F_hora">FACTURA!$H$13</definedName>
    <definedName name="F_iva">FACTURA!$H$44</definedName>
    <definedName name="F_mediopago">FACTURA!$H$15</definedName>
    <definedName name="F_subtotal">FACTURA!$H$42</definedName>
    <definedName name="F_telefono">FACTURA!$C$12</definedName>
    <definedName name="F_total">FACTURA!$H$46</definedName>
    <definedName name="factura_cliente">'CREADOR FACTURA'!$C$10</definedName>
    <definedName name="factura_date">FACTURA!$H$11</definedName>
    <definedName name="factura_id">FACTURA!$H$10</definedName>
    <definedName name="ID_PRODUCTOS">tb_Productos[ID PRODUCTO]</definedName>
    <definedName name="iva">FACTURA!$H$44</definedName>
    <definedName name="nombre_creador">'CREADOR FACTURA'!$C$11</definedName>
    <definedName name="_xlnm.Print_Area" localSheetId="1">FACTURA!$A$2:$I$63</definedName>
    <definedName name="_xlnm.Print_Area" localSheetId="2">Ticket!$B$3:$G$64</definedName>
    <definedName name="subtotal">FACTURA!$H$42</definedName>
    <definedName name="T_cliente">Ticket!$C$22</definedName>
    <definedName name="T_dcto">Ticket!$E$51</definedName>
    <definedName name="T_email">Ticket!$C$24</definedName>
    <definedName name="T_fecha">Ticket!$C$18</definedName>
    <definedName name="T_fechavcto">Ticket!$C$20</definedName>
    <definedName name="T_formapago">Ticket!$C$26</definedName>
    <definedName name="T_hora">Ticket!$C$19</definedName>
    <definedName name="T_iva">Ticket!$E$52</definedName>
    <definedName name="T_mediopago">Ticket!$C$27</definedName>
    <definedName name="T_nfactura">Ticket!$B$16</definedName>
    <definedName name="T_nit">Ticket!$C$23</definedName>
    <definedName name="T_otroscargos">Ticket!$E$53</definedName>
    <definedName name="T_subtotal">Ticket!$E$50</definedName>
    <definedName name="T_telefono">Ticket!$C$25</definedName>
    <definedName name="T_total">Ticket!$E$54</definedName>
    <definedName name="telefono_creador">'CREADOR FACTURA'!$C$12</definedName>
    <definedName name="tk_descripcion">Ticket!$B$29</definedName>
    <definedName name="tk_totaltext">Ticket!$B$47</definedName>
    <definedName name="total">FACTURA!$H$46</definedName>
    <definedName name="total_creador">'CREADOR FACTURA'!$G$15</definedName>
  </definedNames>
  <calcPr calcId="191029"/>
  <pivotCaches>
    <pivotCache cacheId="7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7" i="8" l="1"/>
  <c r="C15" i="7" l="1"/>
  <c r="C14" i="7"/>
  <c r="C13" i="7"/>
  <c r="C12" i="7"/>
  <c r="C11" i="7"/>
  <c r="C10" i="7"/>
  <c r="H44" i="7"/>
  <c r="H18" i="1" l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15" i="1"/>
  <c r="C14" i="1"/>
  <c r="C13" i="1"/>
  <c r="C12" i="1"/>
  <c r="C11" i="1"/>
  <c r="H46" i="7"/>
  <c r="G15" i="1" l="1"/>
  <c r="H42" i="7"/>
  <c r="H13" i="7"/>
  <c r="H12" i="7"/>
  <c r="H11" i="7"/>
  <c r="C267" i="1" l="1"/>
  <c r="C268" i="1"/>
  <c r="C269" i="1"/>
  <c r="C270" i="1"/>
  <c r="C271" i="1"/>
  <c r="D267" i="1"/>
  <c r="D268" i="1"/>
  <c r="D269" i="1"/>
  <c r="D270" i="1"/>
  <c r="D271" i="1"/>
  <c r="E267" i="1"/>
  <c r="E268" i="1"/>
  <c r="E269" i="1"/>
  <c r="E270" i="1"/>
  <c r="E271" i="1"/>
  <c r="F267" i="1"/>
  <c r="F268" i="1"/>
  <c r="F269" i="1"/>
  <c r="F270" i="1"/>
  <c r="F271" i="1"/>
  <c r="G267" i="1"/>
  <c r="G268" i="1"/>
  <c r="G269" i="1"/>
  <c r="G270" i="1"/>
  <c r="G271" i="1"/>
  <c r="C272" i="1"/>
  <c r="D272" i="1"/>
  <c r="E272" i="1"/>
  <c r="F272" i="1"/>
  <c r="G27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C3DED-6BD8-4AD1-89F8-51688FC0744C}" keepAlive="1" name="Query - tb_Clientes" description="Connection to the 'tb_Clientes' query in the workbook." type="5" refreshedVersion="8" background="1" saveData="1">
    <dbPr connection="Provider=Microsoft.Mashup.OleDb.1;Data Source=$Workbook$;Location=tb_Clientes;Extended Properties=&quot;&quot;" command="SELECT * FROM [tb_Clientes]"/>
  </connection>
  <connection id="2" xr16:uid="{5138F380-1A8D-43BC-BD2D-7C5F080101D4}" keepAlive="1" name="Query - tb_Productos" description="Connection to the 'tb_Productos' query in the workbook." type="5" refreshedVersion="8" background="1" saveData="1">
    <dbPr connection="Provider=Microsoft.Mashup.OleDb.1;Data Source=$Workbook$;Location=tb_Productos;Extended Properties=&quot;&quot;" command="SELECT * FROM [tb_Productos]"/>
  </connection>
  <connection id="3" xr16:uid="{62CF4A71-03F8-443F-B1E8-C0987956434C}" keepAlive="1" name="Query - tb_ventas" description="Connection to the 'tb_ventas' query in the workbook." type="5" refreshedVersion="8" background="1" saveData="1">
    <dbPr connection="Provider=Microsoft.Mashup.OleDb.1;Data Source=$Workbook$;Location=tb_ventas;Extended Properties=&quot;&quot;" command="SELECT * FROM [tb_ventas]"/>
  </connection>
</connections>
</file>

<file path=xl/sharedStrings.xml><?xml version="1.0" encoding="utf-8"?>
<sst xmlns="http://schemas.openxmlformats.org/spreadsheetml/2006/main" count="1691" uniqueCount="785">
  <si>
    <t>REALIZAR VENTA</t>
  </si>
  <si>
    <t>NIT/C.C</t>
  </si>
  <si>
    <t>Seniores:</t>
  </si>
  <si>
    <t>telefono:</t>
  </si>
  <si>
    <t>Direccion</t>
  </si>
  <si>
    <t>Ciudad:</t>
  </si>
  <si>
    <t>email:</t>
  </si>
  <si>
    <t>NOMBRE</t>
  </si>
  <si>
    <t>DIRECCION</t>
  </si>
  <si>
    <t>CIUDAD</t>
  </si>
  <si>
    <t>TELEFONO</t>
  </si>
  <si>
    <t>EMAIL</t>
  </si>
  <si>
    <t>Villavicencio</t>
  </si>
  <si>
    <t>ID</t>
  </si>
  <si>
    <t>DESCRIPCION</t>
  </si>
  <si>
    <t xml:space="preserve">DESCUENTO % </t>
  </si>
  <si>
    <t>UNIDAD</t>
  </si>
  <si>
    <t>CANTIDAD UNIDADES</t>
  </si>
  <si>
    <t>precio unitario</t>
  </si>
  <si>
    <t>Descuento</t>
  </si>
  <si>
    <t xml:space="preserve">PARAFINADO ROJO ROLLO 100 METROS </t>
  </si>
  <si>
    <t>Parafinado</t>
  </si>
  <si>
    <t>U</t>
  </si>
  <si>
    <t xml:space="preserve">PARAFINADO NEGRO ROLLO 100 METROS </t>
  </si>
  <si>
    <t xml:space="preserve">PARAFINADO BLANCO ROLLO 100 METROS </t>
  </si>
  <si>
    <t xml:space="preserve">PARAFINADO AMARILLO ROLLO 100 METROS </t>
  </si>
  <si>
    <t xml:space="preserve">PARAFINADO AZUL ROLLO 100 METROS </t>
  </si>
  <si>
    <t xml:space="preserve">PARAFINADO VERDE ROLLO 100 METROS </t>
  </si>
  <si>
    <t xml:space="preserve">PARAFINADO DISENIO ROJO ROLLO 100 METROS </t>
  </si>
  <si>
    <t xml:space="preserve">PARAFINADO DISENIO CAFE ROLLO 100 METROS </t>
  </si>
  <si>
    <t xml:space="preserve">PARAFINADO ROJO ROLLO 50 METROS </t>
  </si>
  <si>
    <t xml:space="preserve">PARAFINADO NEGRO ROLLO 50 METROS </t>
  </si>
  <si>
    <t xml:space="preserve">PARAFINADO BLANCO ROLLO 50 METROS </t>
  </si>
  <si>
    <t xml:space="preserve">PARAFINADO AMARILLO ROLLO 50 METROS </t>
  </si>
  <si>
    <t xml:space="preserve">PARAFINADO AZUL ROLLO 50 METROS </t>
  </si>
  <si>
    <t xml:space="preserve">PARAFINADO VERDE ROLLO 50 METROS </t>
  </si>
  <si>
    <t xml:space="preserve">PARAFINADO DISENIO ROJO ROLLO 50 METROS </t>
  </si>
  <si>
    <t xml:space="preserve">PARAFINADO DISENIO CAFE ROLLO 50 METROS </t>
  </si>
  <si>
    <t xml:space="preserve">PARAFINADO ROJO ROLLO 20 METROS </t>
  </si>
  <si>
    <t xml:space="preserve">PARAFINADO NEGRO ROLLO 20 METROS </t>
  </si>
  <si>
    <t xml:space="preserve">PARAFINADO BLANCO ROLLO 20 METROS </t>
  </si>
  <si>
    <t xml:space="preserve">PARAFINADO AMARILLO ROLLO 20 METROS </t>
  </si>
  <si>
    <t xml:space="preserve">PARAFINADO AZUL ROLLO 20 METROS </t>
  </si>
  <si>
    <t xml:space="preserve">PARAFINADO VERDE ROLLO 20 METROS </t>
  </si>
  <si>
    <t xml:space="preserve">PARAFINADO DISENIO ROJO ROLLO 20 METROS </t>
  </si>
  <si>
    <t xml:space="preserve">PARAFINADO DISENIO CAFE ROLLO 20 METROS </t>
  </si>
  <si>
    <t xml:space="preserve">PARAFINADO 30X30 ROJO  </t>
  </si>
  <si>
    <t xml:space="preserve">PARAFINADO 30X30 NEGRO  </t>
  </si>
  <si>
    <t xml:space="preserve">PARAFINADO 30X30 BLANCO  </t>
  </si>
  <si>
    <t xml:space="preserve">PARAFINADO 30X30 AMARILLO  </t>
  </si>
  <si>
    <t>PARAFINADO 30X30 AZUL</t>
  </si>
  <si>
    <t>PARAFINADO 30X30 VERDE</t>
  </si>
  <si>
    <t>PARAFINADO 30X30 DISENIO</t>
  </si>
  <si>
    <t xml:space="preserve">PARAFINADO 30X40 ROJO  </t>
  </si>
  <si>
    <t xml:space="preserve">PARAFINADO 30X40 NEGRO  </t>
  </si>
  <si>
    <t xml:space="preserve">PARAFINADO 30X40 BLANCO  </t>
  </si>
  <si>
    <t xml:space="preserve">PARAFINADO 30X40 AMARILLO  </t>
  </si>
  <si>
    <t>PARAFINADO 30X40 AZUL</t>
  </si>
  <si>
    <t>PARAFINADO 30X40 VERDE</t>
  </si>
  <si>
    <t>PARAFINADO 30X40 DISENIO ROJO</t>
  </si>
  <si>
    <t>PARAFINADO 30X40 BIO DISENIO ROJO</t>
  </si>
  <si>
    <t>PARAFINADO 30X40 BIO DISENIO VERDE</t>
  </si>
  <si>
    <t>PARAFINADO 30X40 BIO DISENIO CAFÉ</t>
  </si>
  <si>
    <t>PARAFINADO 3X30 BIO DISENIO ROJO</t>
  </si>
  <si>
    <t>PARAFINADO 3X30 BIO DISENIO NEGRO</t>
  </si>
  <si>
    <t>PARAFINADO BOLSILLO ROJO</t>
  </si>
  <si>
    <t>PARAFINADO BOLSILLO DISENIO</t>
  </si>
  <si>
    <t>PARAFINADO BOLSILLO NEGRO</t>
  </si>
  <si>
    <t>PARAFINADO BOLSILLO NARANJA</t>
  </si>
  <si>
    <t>PAPEL ALUMINIO 7 METROS</t>
  </si>
  <si>
    <t>Papel Aluminio</t>
  </si>
  <si>
    <t>PAPEL ALUMINIO 16 METROS</t>
  </si>
  <si>
    <t>PAPEL ALUMINIO 40 METROS</t>
  </si>
  <si>
    <t>PAPEL ALUMINIO 100 METROS</t>
  </si>
  <si>
    <t>MEZCLADOR NEGRO</t>
  </si>
  <si>
    <t>Mezclador</t>
  </si>
  <si>
    <t>MEZCLADOR ROJO</t>
  </si>
  <si>
    <t>MEZCLADOR DARNEL</t>
  </si>
  <si>
    <t>PALILLO BAMBOO 25 CM GRUESO</t>
  </si>
  <si>
    <t>Palillo Bamboo</t>
  </si>
  <si>
    <t>PALILLO BAMBOO 25 CM DELGADO</t>
  </si>
  <si>
    <t>PALILLO BAMBOO 30 CM GRUESO</t>
  </si>
  <si>
    <t>PALILLO PEQUENIO</t>
  </si>
  <si>
    <t>PALILLO GRANDE</t>
  </si>
  <si>
    <t>VINIPEL ALIMENTO 50 METROS</t>
  </si>
  <si>
    <t>VINIPEL</t>
  </si>
  <si>
    <t>VINIPEL ALIMENTO 100 METROS</t>
  </si>
  <si>
    <t>VINIPEL ALIMENTO 200 METROS</t>
  </si>
  <si>
    <t>VINIPEL ALIMENTO 300 METROS</t>
  </si>
  <si>
    <t>VINIPEL ALIMENTO 500 METROS</t>
  </si>
  <si>
    <t>BOLSILLO ALUMINIO L-17</t>
  </si>
  <si>
    <t>Bolsillo Aluminio</t>
  </si>
  <si>
    <t>BOLSILLO ALUMINIO L-19</t>
  </si>
  <si>
    <t>BOLSILLO ALUMINIO L-21</t>
  </si>
  <si>
    <t>BOLSILLO ALUMINIO L-23</t>
  </si>
  <si>
    <t>BOLSILLO ALUMINIO L-25</t>
  </si>
  <si>
    <t>BOLSILLO ALUMINIO PIZZA P-20</t>
  </si>
  <si>
    <t>VINIPEL STRESS 5X300</t>
  </si>
  <si>
    <t>VINIPEL STRESS 5X500</t>
  </si>
  <si>
    <t>VINIPEL STRESS 6X300</t>
  </si>
  <si>
    <t>VINIPEL STRESS 6X500</t>
  </si>
  <si>
    <t>VINIPEL STRESS 8X300</t>
  </si>
  <si>
    <t>VINIPEL STRESS 8X500</t>
  </si>
  <si>
    <t>VINIPEL STRESS 12X300</t>
  </si>
  <si>
    <t>VINIPEL STRESS 12X500</t>
  </si>
  <si>
    <t>VINIPEL STRESS 20X300</t>
  </si>
  <si>
    <t>VINIPEL STRESS 20X500</t>
  </si>
  <si>
    <t>VINIPEL STRESS 20X1200</t>
  </si>
  <si>
    <t>PORTA PERRO GRUESO</t>
  </si>
  <si>
    <t>PORTA</t>
  </si>
  <si>
    <t>PORTA PIZZA GRUESO</t>
  </si>
  <si>
    <t>PORTA AREPA GRUESO</t>
  </si>
  <si>
    <t>PORTA AREPA DELGADO</t>
  </si>
  <si>
    <t>PORTA HAMBURGUESA</t>
  </si>
  <si>
    <t>BOLSA POLIPROPILENO DECORADA 4X20</t>
  </si>
  <si>
    <t>Bolsa Polipropileno</t>
  </si>
  <si>
    <t>BOLSA POLIPROPILENO DECORADA 6X16</t>
  </si>
  <si>
    <t>BOLSA POLIPROPILENO DECORADA 6X20</t>
  </si>
  <si>
    <t>BOLSA POLIPROPILENO DECORADA 7X20</t>
  </si>
  <si>
    <t>BOLSA POLIPROPILENO DECORADA 8X20</t>
  </si>
  <si>
    <t>BOLSA POLIPROPILENO DECORADA 10X20</t>
  </si>
  <si>
    <t>BOLSA POLIPROPILENO DECORADA 12X20</t>
  </si>
  <si>
    <t>BOLSA POLIPROPILENO DECORADA 14X20</t>
  </si>
  <si>
    <t>BOLSA POLIPROPLINEO TRANSPARENTE 2.5X8</t>
  </si>
  <si>
    <t>BOLSA POLIPROPILENO TRANSPARENTE 2.5X10</t>
  </si>
  <si>
    <t>BOLSA POLIPROPILENO TRANSPARENTE 3X8</t>
  </si>
  <si>
    <t>BOLSA POLIPROPILENO TRANSPARENTE 3X10</t>
  </si>
  <si>
    <t>BOLSA POLIPROPILENO TRANSPARENTE 3X12</t>
  </si>
  <si>
    <t>BOLSA POLIPROPILENO TRANSPARENTE 4X6</t>
  </si>
  <si>
    <t>BOLSA POLIPROPILENO TRANSPARENTE 4X8</t>
  </si>
  <si>
    <t>BOLSA POLIPROPILENO TRANSPARENTE 4X15</t>
  </si>
  <si>
    <t>BOLSA POLIPROPILENO TRANSPARENTE 5X8</t>
  </si>
  <si>
    <t>BOLSA POLIPROPILENO TRANSPARENTE 5X10</t>
  </si>
  <si>
    <t>BOLSA POLIPROPILENO TRANSPARENTE 5X12</t>
  </si>
  <si>
    <t>BOLSA POLIPROPILENO TRANSPARENTE 5X20</t>
  </si>
  <si>
    <t>BOLSA POLIPROPILENO TRANSPARENTE 5X26</t>
  </si>
  <si>
    <t>BOLSA POLIPROPILENO TRANSPARENTE 6X7</t>
  </si>
  <si>
    <t>BOLSA POLIPROPILENO TRANSPARENTE 6X12</t>
  </si>
  <si>
    <t>BOLSA POLIPROPILENO TRANSPARENTE 6X20</t>
  </si>
  <si>
    <t>BOLSA POLIPROPILENO TRANSPARENTE 6X28</t>
  </si>
  <si>
    <t xml:space="preserve">BOLSA POLIPROPILENO TRANSPARENTE 7X10 </t>
  </si>
  <si>
    <t>BOLSA POLIPROPILENO TRANSPARENTE 7X16</t>
  </si>
  <si>
    <t>BOLSA POLIPROPILENO TRANSPARENTE 8X15</t>
  </si>
  <si>
    <t>BOLSA POLIPROPILENO TRANSPARENTE 9X14</t>
  </si>
  <si>
    <t>BOLSA AZUCAR</t>
  </si>
  <si>
    <t>Bolsa Azucar</t>
  </si>
  <si>
    <t>GUANTE PLASTICO XUEBO</t>
  </si>
  <si>
    <t>Guante Plastico</t>
  </si>
  <si>
    <t>GUANTE PLASTICO INDUPLAST JJ BIO</t>
  </si>
  <si>
    <t>GUANTE PLASTICO INVERCOM</t>
  </si>
  <si>
    <t xml:space="preserve">MOLDE ALUMINIO 16 OZ  </t>
  </si>
  <si>
    <t>Molde Aluminio</t>
  </si>
  <si>
    <t xml:space="preserve">MOLDE ALUMINIO 24 OZ </t>
  </si>
  <si>
    <t>MOLDE ALUMINIO 28 OZ</t>
  </si>
  <si>
    <t>PITILLO JUMBO STRAW DARNEL 26CM</t>
  </si>
  <si>
    <t>PITILLO</t>
  </si>
  <si>
    <t>PITILLO JUMBO STRAW DARNEL 19CM</t>
  </si>
  <si>
    <t>CINTA GRANDE 500 METROS</t>
  </si>
  <si>
    <t>CINTA</t>
  </si>
  <si>
    <t xml:space="preserve">CINTA MEDIANA 200 METROS </t>
  </si>
  <si>
    <t>CINTA PEQUENA 100 METROS</t>
  </si>
  <si>
    <t>CINTA DELGADA 50 METROS</t>
  </si>
  <si>
    <t>PLATO DARNEL HONDO 16 OZ</t>
  </si>
  <si>
    <t>PLATOS</t>
  </si>
  <si>
    <t xml:space="preserve">PLATO KANGUPOR 26CM </t>
  </si>
  <si>
    <t xml:space="preserve">PLATO KANGUPOR HONDO 20CM </t>
  </si>
  <si>
    <t>PLATO DARNEL 23CM</t>
  </si>
  <si>
    <t xml:space="preserve">PLATO DARNEL 20CM </t>
  </si>
  <si>
    <t xml:space="preserve">PLATO DARNEL HONDO 25 OZ </t>
  </si>
  <si>
    <t xml:space="preserve">PLATO KANGUPOR 16CM </t>
  </si>
  <si>
    <t xml:space="preserve">PLATO DARNEL 15,5CM </t>
  </si>
  <si>
    <t xml:space="preserve">PLATO DARNEL 26CM </t>
  </si>
  <si>
    <t xml:space="preserve">PLATO KANGUPOR 18CM </t>
  </si>
  <si>
    <t>PLATO KANGUPOR PLANO 20CM</t>
  </si>
  <si>
    <t>PLATO KANGUPOR PLANO 23CM</t>
  </si>
  <si>
    <t xml:space="preserve">VASO TAMI 7 OZ </t>
  </si>
  <si>
    <t>VASOS</t>
  </si>
  <si>
    <t>VASO TAMI 9 OZ</t>
  </si>
  <si>
    <t>VASO VACAN 9 OZ</t>
  </si>
  <si>
    <t xml:space="preserve">VASO SICODELICO 7 OZ </t>
  </si>
  <si>
    <t>VASO TINTO LIDER 3,3 OZ</t>
  </si>
  <si>
    <t>VASO TINTO LIDER 5 OZ</t>
  </si>
  <si>
    <t xml:space="preserve">VASO TAMI 12 OZ </t>
  </si>
  <si>
    <t>VASO WAU 13 OZ</t>
  </si>
  <si>
    <t>VASO NIXA 4 OZ</t>
  </si>
  <si>
    <t>VASO CAFÉ PREXXO 7 OZ</t>
  </si>
  <si>
    <t>VASO CAFÉ PREXXO BLANCO 9 OZ</t>
  </si>
  <si>
    <t>VASO CAFÉ PREXXO DISENIO 9 OZ</t>
  </si>
  <si>
    <t>VASO CAFÉ ROJO 4 OZ</t>
  </si>
  <si>
    <t xml:space="preserve">VASO TARRAGONA 4 OZ </t>
  </si>
  <si>
    <t>VASO CAFÉ NEGRO 5 OZ</t>
  </si>
  <si>
    <t>VASO ICOPOR BLANCO 4 OZ</t>
  </si>
  <si>
    <t>VASO ESPUMADO DARNEL 4 OZ</t>
  </si>
  <si>
    <t>VASO ESPUMADO DARNEL 6 OZ</t>
  </si>
  <si>
    <t>VASO ESPUMADO DARNEL 8 OZ</t>
  </si>
  <si>
    <t>COPA ACME LEON 1 OZ</t>
  </si>
  <si>
    <t>COPAS</t>
  </si>
  <si>
    <t>COPA PLASTICOS SAS BLANCO 1 OZ</t>
  </si>
  <si>
    <t>COPA DARNEL 1 OZ</t>
  </si>
  <si>
    <t>COPA DARNEL 1.5 OZ</t>
  </si>
  <si>
    <t xml:space="preserve">TAPAS DARNEL 8 OZ </t>
  </si>
  <si>
    <t>TAPAS</t>
  </si>
  <si>
    <t xml:space="preserve">TAPAS DARNEL 6 Y 4 OZ </t>
  </si>
  <si>
    <t xml:space="preserve">TAPAS VACAN 10 Y 12 OZ </t>
  </si>
  <si>
    <t>CONTENEDOR DARNEL TAPA ESPUMADA 16 OZ</t>
  </si>
  <si>
    <t>CONTENEDOR</t>
  </si>
  <si>
    <t>CONTENEDOR DARNEL TAPA RIGIDA 16 OZ</t>
  </si>
  <si>
    <t xml:space="preserve">CONTENEDOR KANGUPOR TAPA ESPUMADA 24 OZ </t>
  </si>
  <si>
    <t>CONTENEDOR DARNEL TAPA RIGIDA 24 OZ</t>
  </si>
  <si>
    <t>CONTENEDOR KANGUPOR TAPA ESPUMADA 16 OZ</t>
  </si>
  <si>
    <t>CONTENEDOR DARNEL TIPO CANOA</t>
  </si>
  <si>
    <t xml:space="preserve">CUCHARA DULCERA </t>
  </si>
  <si>
    <t>CUBIERTOS</t>
  </si>
  <si>
    <t>CUCHILLOS</t>
  </si>
  <si>
    <t xml:space="preserve">CUCHARA CUADRADA FRESH PEQUENA </t>
  </si>
  <si>
    <t>CUCHARA REDONDA FRESH PEQUENA</t>
  </si>
  <si>
    <t xml:space="preserve">CUCHARA BIODEGRADABLE FRESH </t>
  </si>
  <si>
    <t>TENEDOR</t>
  </si>
  <si>
    <t>CUCHARA</t>
  </si>
  <si>
    <t>CAJA PONQUE GRANDE</t>
  </si>
  <si>
    <t>Caja Ponque</t>
  </si>
  <si>
    <t>CAJA PONQUE MEDIANA</t>
  </si>
  <si>
    <t>CAJA PONQUE PEQUENA</t>
  </si>
  <si>
    <t xml:space="preserve">BOLSA LECHOSA 6x9 </t>
  </si>
  <si>
    <t>Bolsa Lechosa</t>
  </si>
  <si>
    <t>BOLSA LECHOSA 7X10</t>
  </si>
  <si>
    <t>BOLSA LECHOSA 8X12</t>
  </si>
  <si>
    <t>BOLSA LECHOSA 9X14</t>
  </si>
  <si>
    <t>BOLSA LECHOSA 10X16</t>
  </si>
  <si>
    <t>BOLSA LECHOSA 12X18</t>
  </si>
  <si>
    <t>BOLSA LECHOSA 14X20</t>
  </si>
  <si>
    <t>BOLSA LECHOSA 16X24</t>
  </si>
  <si>
    <t xml:space="preserve">BOLSA PAPELERA PAQUETE AZUL OSCURO </t>
  </si>
  <si>
    <t>Bolsa Papelera Paquete</t>
  </si>
  <si>
    <t>BOLSA PAPELERA PAQUETE AZUL CLARO</t>
  </si>
  <si>
    <t>BOLSA PAPELERA PAQUETE BLANCA</t>
  </si>
  <si>
    <t>BOLSA PAPELERA PAQUETE GRIS</t>
  </si>
  <si>
    <t>BOLSA PAPELERA PAQUETE VERDE</t>
  </si>
  <si>
    <t>BOLSA PAPELERA PAQUETE NEGRA</t>
  </si>
  <si>
    <t>BOLSA TRANSPARENTE 3X10</t>
  </si>
  <si>
    <t>Bolsa Transparente</t>
  </si>
  <si>
    <t>BOLSA TRANSPARENTE 5X9</t>
  </si>
  <si>
    <t>BOLSA TRANSPARENTE 5X15</t>
  </si>
  <si>
    <t>BOLSA TRANSPARENTE 6X11</t>
  </si>
  <si>
    <t>BOLSA TRANSPARENTE 7X18</t>
  </si>
  <si>
    <t>BOLSA TRANSPARENTE 8X12</t>
  </si>
  <si>
    <t>BOLSA TRANSPARENTE 9X14</t>
  </si>
  <si>
    <t>BOLSA TRANSPARENTE 10X16</t>
  </si>
  <si>
    <t>BOLSA TRANSPARENTE 12X18</t>
  </si>
  <si>
    <t>BOLSA TRANSPARENTE 14X20</t>
  </si>
  <si>
    <t>BOLSA TRANSPARENTE 16X24</t>
  </si>
  <si>
    <t>BOLSA PAPELERA POR KILO BLANCA</t>
  </si>
  <si>
    <t>Bolsa Papelera Por Kilo</t>
  </si>
  <si>
    <t>KG</t>
  </si>
  <si>
    <t>BOLSA PAPELERA POR KILO NEGRA</t>
  </si>
  <si>
    <t>BOLSA PAPELERA POR KILO GRIS</t>
  </si>
  <si>
    <t>BOLSA MANIJA BLANCA 1.5KG</t>
  </si>
  <si>
    <t>Bolsa Manija</t>
  </si>
  <si>
    <t xml:space="preserve">BOLSA MANIJA NEGRA 1.5KG </t>
  </si>
  <si>
    <t>BOLSA MANIJA BLANCA 2KG</t>
  </si>
  <si>
    <t xml:space="preserve">BOLSA MANIJA NEGRA 2KG </t>
  </si>
  <si>
    <t>BOLSA MANIJA BLANCA 3KG</t>
  </si>
  <si>
    <t xml:space="preserve">BOLSA MANIJA NEGRA  3KG </t>
  </si>
  <si>
    <t>BOLSA MANIJA BLANCA 5KG</t>
  </si>
  <si>
    <t>BOLSA MANIJA NEGRA 5KG</t>
  </si>
  <si>
    <t xml:space="preserve">BOLSA MANIJA VERDE 5KG </t>
  </si>
  <si>
    <t xml:space="preserve">BOLSA MANIJA BLANCA 10KG </t>
  </si>
  <si>
    <t>BOLSA MANIJA NEGRA 10KG</t>
  </si>
  <si>
    <t>BOLSA MANIJA AZUL 10KG</t>
  </si>
  <si>
    <t>BOLSA MANIJA BLANCA 15KG</t>
  </si>
  <si>
    <t>BOLSA MANIJA NEGRA 15KG</t>
  </si>
  <si>
    <t>BOLSA MANIJA VERDE 15KG</t>
  </si>
  <si>
    <t>BOLSA MANIJA BLANCA 20KG</t>
  </si>
  <si>
    <t>BOLSA MANIJA NEGRA 20KG</t>
  </si>
  <si>
    <t>BOLSA MANIJA BLANCA 25KG</t>
  </si>
  <si>
    <t>BOLSA MANIJA NEGRA 25KG</t>
  </si>
  <si>
    <t>BOLSA MANIJA BLANCA 30KG</t>
  </si>
  <si>
    <t xml:space="preserve">BOLSA MANIJA NEGRA 30KG </t>
  </si>
  <si>
    <t>BOLSA MANIJA GRUESA BLANCA 30KG</t>
  </si>
  <si>
    <t>BOLSA MANIJA GRUESA NEGRA 30KG</t>
  </si>
  <si>
    <t>BOLSA HERMETICA 3X2</t>
  </si>
  <si>
    <t>Bolsa Hermetica</t>
  </si>
  <si>
    <t>BOLSA HERMETICA 3X2.5</t>
  </si>
  <si>
    <t>BOLSA HERMETICA 3X3</t>
  </si>
  <si>
    <t>BOLSA HERMETICA 4X3</t>
  </si>
  <si>
    <t xml:space="preserve">BOLSA HERMETICA 5X5 </t>
  </si>
  <si>
    <t>BOLSA HERMETICA 6X5</t>
  </si>
  <si>
    <t>BOLSA HERMETICA 9X5</t>
  </si>
  <si>
    <t>BOLSA HERMETICA 9X6</t>
  </si>
  <si>
    <t>BOLSA HERMETICA 10X8</t>
  </si>
  <si>
    <t>BOLSA HERMETICA 12X10</t>
  </si>
  <si>
    <t>BOLSA HERMETICA 12X12</t>
  </si>
  <si>
    <t>BOLSA HERMETICA 14X6</t>
  </si>
  <si>
    <t>BOLSA HERMETICA 14X8</t>
  </si>
  <si>
    <t>BOLSA HERMETICA 14X10</t>
  </si>
  <si>
    <t>BOLSA HERMETICA 14X12</t>
  </si>
  <si>
    <t>BOLSA HERMETICA 18X14</t>
  </si>
  <si>
    <t>BOLSA HERMETICA 18X17</t>
  </si>
  <si>
    <t>BOLSA HERMETICA 20X10</t>
  </si>
  <si>
    <t>BOLSA HERMETICA 20X12</t>
  </si>
  <si>
    <t>BOLSA HERMETICA 20X15</t>
  </si>
  <si>
    <t>BOLSA HERMETICA 20X18</t>
  </si>
  <si>
    <t>BOLSA HERMETICA 22X18</t>
  </si>
  <si>
    <t>BOLSA HERMETICA 24X15</t>
  </si>
  <si>
    <t>BOLSA HERMETICA 24X20</t>
  </si>
  <si>
    <t>BOLSA HERMETICA 25X25</t>
  </si>
  <si>
    <t>BOLSA HERMETICA 30X25</t>
  </si>
  <si>
    <t>BOLSA HERMETICA 32X23.5</t>
  </si>
  <si>
    <t>BOLSA HERMETICA 36X25</t>
  </si>
  <si>
    <t>BOLSA HERMETICA 48X40</t>
  </si>
  <si>
    <t>SEPARAQUESO DE 2KG</t>
  </si>
  <si>
    <t>SEPARAQUESO</t>
  </si>
  <si>
    <t>SEPARAQUESO DE 4KG</t>
  </si>
  <si>
    <t xml:space="preserve">PITILLO GENERICO 23CM </t>
  </si>
  <si>
    <t xml:space="preserve">SERVILLETAS FAMILIA </t>
  </si>
  <si>
    <t>SERVILLETAS</t>
  </si>
  <si>
    <t xml:space="preserve">SERVILLETAS SEDA MAX </t>
  </si>
  <si>
    <t xml:space="preserve">TOALLAS PARA MANOS SEDA MAX </t>
  </si>
  <si>
    <t>Toallas Manos</t>
  </si>
  <si>
    <t>BOLSA BASURA CASERA BLANCA</t>
  </si>
  <si>
    <t>Bolsa Basura Colores</t>
  </si>
  <si>
    <t>BOLSA BASURA CASERA VERDE</t>
  </si>
  <si>
    <t>BOLSA BASURA CASERA ROJA</t>
  </si>
  <si>
    <t>BOLSA BASURA CASERA GRIS</t>
  </si>
  <si>
    <t>BOLSA BASURA INDUSTRIAL AZUL</t>
  </si>
  <si>
    <t>BOLSA BASURA INDUSTRIAL GRIS</t>
  </si>
  <si>
    <t>BOLSA BASURA INDUSTRIAL ROJA</t>
  </si>
  <si>
    <t>BOLSA BASURA INDUSTRIAL VERDE</t>
  </si>
  <si>
    <t>BOLSA BASURA INDUSTRIAL BLANCA</t>
  </si>
  <si>
    <t>BOLSA BASURA JUMBO VERDE</t>
  </si>
  <si>
    <t>BOLSA BASURA JUMBO BLANCA</t>
  </si>
  <si>
    <t>BOLSA BASURA JUMBO ROJA</t>
  </si>
  <si>
    <t xml:space="preserve">VINIPEL OSMOTICO 20 METROS </t>
  </si>
  <si>
    <t>Vinipel Osmotico</t>
  </si>
  <si>
    <t>VINIPEL OSMOTICO 50 METROS</t>
  </si>
  <si>
    <t>VINIPEL OSMOTICO 100 METROS</t>
  </si>
  <si>
    <t>VINIPEL OSMOTICO 200 METROS</t>
  </si>
  <si>
    <t>VINIPEL OSMOTICO 500 METROS</t>
  </si>
  <si>
    <t>PALITO PALETA LARGO PAQUETE DE 1000</t>
  </si>
  <si>
    <t>Palito Paleta</t>
  </si>
  <si>
    <t>PALITO PALETA CORTO PAQUETE DE 1000</t>
  </si>
  <si>
    <t>PALITO PALETA CORTO PAQUETE DE 100</t>
  </si>
  <si>
    <t xml:space="preserve">PALITO PALETA CORTO PAQUETE DE 50 </t>
  </si>
  <si>
    <t>PALITO PALETA CORTO PAQUETE DE 20</t>
  </si>
  <si>
    <t>BOLSA BASURA PAPELERA PAQUETE X6</t>
  </si>
  <si>
    <t xml:space="preserve">Bolsa Basura </t>
  </si>
  <si>
    <t xml:space="preserve">BOLSA BASURA APARTAMENTERA </t>
  </si>
  <si>
    <t xml:space="preserve">BOLSA BASURA CASERA </t>
  </si>
  <si>
    <t xml:space="preserve">BOLSA BASURA INDUSTRIAL </t>
  </si>
  <si>
    <t>BOLSA BASURA JUMBO</t>
  </si>
  <si>
    <t>BOLSA BASURA SUPER JUMBO</t>
  </si>
  <si>
    <t>COMBO CUBIERTOS</t>
  </si>
  <si>
    <t>ID PRODUCTO</t>
  </si>
  <si>
    <t>MARCA</t>
  </si>
  <si>
    <t>No Aplica</t>
  </si>
  <si>
    <t>0000102</t>
  </si>
  <si>
    <t>0000103</t>
  </si>
  <si>
    <t>0000104</t>
  </si>
  <si>
    <t>0000105</t>
  </si>
  <si>
    <t>0000106</t>
  </si>
  <si>
    <t>0000107</t>
  </si>
  <si>
    <t>0000108</t>
  </si>
  <si>
    <t>0000201</t>
  </si>
  <si>
    <t>0000202</t>
  </si>
  <si>
    <t>0000203</t>
  </si>
  <si>
    <t>0000204</t>
  </si>
  <si>
    <t>0000205</t>
  </si>
  <si>
    <t>0000206</t>
  </si>
  <si>
    <t>0000207</t>
  </si>
  <si>
    <t>0000208</t>
  </si>
  <si>
    <t>0000301</t>
  </si>
  <si>
    <t>0000302</t>
  </si>
  <si>
    <t>0000303</t>
  </si>
  <si>
    <t>0000304</t>
  </si>
  <si>
    <t>0000305</t>
  </si>
  <si>
    <t>0000306</t>
  </si>
  <si>
    <t>0000307</t>
  </si>
  <si>
    <t>0000308</t>
  </si>
  <si>
    <t>0000401</t>
  </si>
  <si>
    <t>0000402</t>
  </si>
  <si>
    <t>0000403</t>
  </si>
  <si>
    <t>0000404</t>
  </si>
  <si>
    <t>0000405</t>
  </si>
  <si>
    <t>0000406</t>
  </si>
  <si>
    <t>0000407</t>
  </si>
  <si>
    <t>0000501</t>
  </si>
  <si>
    <t>0000502</t>
  </si>
  <si>
    <t>0000503</t>
  </si>
  <si>
    <t>0000504</t>
  </si>
  <si>
    <t>0000505</t>
  </si>
  <si>
    <t>0000506</t>
  </si>
  <si>
    <t>0000507</t>
  </si>
  <si>
    <t>0000601</t>
  </si>
  <si>
    <t>0000602</t>
  </si>
  <si>
    <t>0000603</t>
  </si>
  <si>
    <t>0000604</t>
  </si>
  <si>
    <t>0000605</t>
  </si>
  <si>
    <t>0000701</t>
  </si>
  <si>
    <t>0000702</t>
  </si>
  <si>
    <t>0000703</t>
  </si>
  <si>
    <t>0000704</t>
  </si>
  <si>
    <t>0000801</t>
  </si>
  <si>
    <t>0000802</t>
  </si>
  <si>
    <t>0000803</t>
  </si>
  <si>
    <t>0000804</t>
  </si>
  <si>
    <t>0000901</t>
  </si>
  <si>
    <t>0000902</t>
  </si>
  <si>
    <t>0100903</t>
  </si>
  <si>
    <t>Darnel Ajover</t>
  </si>
  <si>
    <t>0001001</t>
  </si>
  <si>
    <t>0001002</t>
  </si>
  <si>
    <t>0001003</t>
  </si>
  <si>
    <t>0001004</t>
  </si>
  <si>
    <t>0001005</t>
  </si>
  <si>
    <t>0001101</t>
  </si>
  <si>
    <t>0001102</t>
  </si>
  <si>
    <t>0001103</t>
  </si>
  <si>
    <t>0001104</t>
  </si>
  <si>
    <t>0001105</t>
  </si>
  <si>
    <t>0001201</t>
  </si>
  <si>
    <t>0001202</t>
  </si>
  <si>
    <t>0001203</t>
  </si>
  <si>
    <t>0001204</t>
  </si>
  <si>
    <t>0001205</t>
  </si>
  <si>
    <t>0001206</t>
  </si>
  <si>
    <t>0001301</t>
  </si>
  <si>
    <t>0001302</t>
  </si>
  <si>
    <t>0001303</t>
  </si>
  <si>
    <t>0001304</t>
  </si>
  <si>
    <t>0001305</t>
  </si>
  <si>
    <t>0001306</t>
  </si>
  <si>
    <t>0001307</t>
  </si>
  <si>
    <t>0001308</t>
  </si>
  <si>
    <t>0001309</t>
  </si>
  <si>
    <t>0001310</t>
  </si>
  <si>
    <t>0001311</t>
  </si>
  <si>
    <t>0001401</t>
  </si>
  <si>
    <t>0001402</t>
  </si>
  <si>
    <t>0001403</t>
  </si>
  <si>
    <t>0001404</t>
  </si>
  <si>
    <t>0001405</t>
  </si>
  <si>
    <t>0001501</t>
  </si>
  <si>
    <t>0001502</t>
  </si>
  <si>
    <t>0001503</t>
  </si>
  <si>
    <t>0001504</t>
  </si>
  <si>
    <t>0001505</t>
  </si>
  <si>
    <t>0001506</t>
  </si>
  <si>
    <t>0001507</t>
  </si>
  <si>
    <t>0001508</t>
  </si>
  <si>
    <t>0001509</t>
  </si>
  <si>
    <t>0001510</t>
  </si>
  <si>
    <t>0001511</t>
  </si>
  <si>
    <t>0001512</t>
  </si>
  <si>
    <t>0001513</t>
  </si>
  <si>
    <t>0001514</t>
  </si>
  <si>
    <t>0001515</t>
  </si>
  <si>
    <t>0001516</t>
  </si>
  <si>
    <t>0001517</t>
  </si>
  <si>
    <t>0001518</t>
  </si>
  <si>
    <t>0001519</t>
  </si>
  <si>
    <t>0001520</t>
  </si>
  <si>
    <t>0001521</t>
  </si>
  <si>
    <t>0001522</t>
  </si>
  <si>
    <t>0001523</t>
  </si>
  <si>
    <t>0001524</t>
  </si>
  <si>
    <t>0001525</t>
  </si>
  <si>
    <t>0001526</t>
  </si>
  <si>
    <t>0001527</t>
  </si>
  <si>
    <t>0001528</t>
  </si>
  <si>
    <t>0001529</t>
  </si>
  <si>
    <t>0501601</t>
  </si>
  <si>
    <t>La rolita</t>
  </si>
  <si>
    <t>0201701</t>
  </si>
  <si>
    <t>Xuebo</t>
  </si>
  <si>
    <t>0401702</t>
  </si>
  <si>
    <t>Induplast JJ Bio</t>
  </si>
  <si>
    <t>0301703</t>
  </si>
  <si>
    <t>Invercom</t>
  </si>
  <si>
    <t>0001801</t>
  </si>
  <si>
    <t>0001802</t>
  </si>
  <si>
    <t>0001803</t>
  </si>
  <si>
    <t>0101901</t>
  </si>
  <si>
    <t>0101902</t>
  </si>
  <si>
    <t>0002001</t>
  </si>
  <si>
    <t>0002002</t>
  </si>
  <si>
    <t>0002003</t>
  </si>
  <si>
    <t>0002004</t>
  </si>
  <si>
    <t>0102101</t>
  </si>
  <si>
    <t>0602102</t>
  </si>
  <si>
    <t>Kangupor</t>
  </si>
  <si>
    <t>0602103</t>
  </si>
  <si>
    <t>0102104</t>
  </si>
  <si>
    <t>0102105</t>
  </si>
  <si>
    <t>0102106</t>
  </si>
  <si>
    <t>0602107</t>
  </si>
  <si>
    <t>0102108</t>
  </si>
  <si>
    <t>0102109</t>
  </si>
  <si>
    <t>0602110</t>
  </si>
  <si>
    <t>0602111</t>
  </si>
  <si>
    <t>0602112</t>
  </si>
  <si>
    <t>0702201</t>
  </si>
  <si>
    <t>TAMI</t>
  </si>
  <si>
    <t>0702202</t>
  </si>
  <si>
    <t>0802203</t>
  </si>
  <si>
    <t>Vacan</t>
  </si>
  <si>
    <t>0902204</t>
  </si>
  <si>
    <t>Sicodelico</t>
  </si>
  <si>
    <t>1002205</t>
  </si>
  <si>
    <t>Lider</t>
  </si>
  <si>
    <t>1002206</t>
  </si>
  <si>
    <t>0702207</t>
  </si>
  <si>
    <t>1102208</t>
  </si>
  <si>
    <t>Wau</t>
  </si>
  <si>
    <t>1202209</t>
  </si>
  <si>
    <t>Nixa</t>
  </si>
  <si>
    <t>1302210</t>
  </si>
  <si>
    <t>Prexxo</t>
  </si>
  <si>
    <t>1302211</t>
  </si>
  <si>
    <t>1302212</t>
  </si>
  <si>
    <t>0002213</t>
  </si>
  <si>
    <t>1402214</t>
  </si>
  <si>
    <t>Tarragona</t>
  </si>
  <si>
    <t>0002215</t>
  </si>
  <si>
    <t>0002216</t>
  </si>
  <si>
    <t>0102217</t>
  </si>
  <si>
    <t>0102218</t>
  </si>
  <si>
    <t>0102219</t>
  </si>
  <si>
    <t>1502301</t>
  </si>
  <si>
    <t>Acme leon</t>
  </si>
  <si>
    <t>1602302</t>
  </si>
  <si>
    <t>Pasticos SAS</t>
  </si>
  <si>
    <t>0102303</t>
  </si>
  <si>
    <t>0102304</t>
  </si>
  <si>
    <t>0102401</t>
  </si>
  <si>
    <t>0102402</t>
  </si>
  <si>
    <t>0802403</t>
  </si>
  <si>
    <t>0102501</t>
  </si>
  <si>
    <t>0102502</t>
  </si>
  <si>
    <t>0102504</t>
  </si>
  <si>
    <t>0602505</t>
  </si>
  <si>
    <t>0102506</t>
  </si>
  <si>
    <t>0002601</t>
  </si>
  <si>
    <t>0002602</t>
  </si>
  <si>
    <t>1902603</t>
  </si>
  <si>
    <t>Fresh</t>
  </si>
  <si>
    <t>1902604</t>
  </si>
  <si>
    <t>1902605</t>
  </si>
  <si>
    <t>0002606</t>
  </si>
  <si>
    <t>0002608</t>
  </si>
  <si>
    <t>0002701</t>
  </si>
  <si>
    <t>0002702</t>
  </si>
  <si>
    <t>0002703</t>
  </si>
  <si>
    <t>0002801</t>
  </si>
  <si>
    <t>0002802</t>
  </si>
  <si>
    <t>0002803</t>
  </si>
  <si>
    <t>0002804</t>
  </si>
  <si>
    <t>0002805</t>
  </si>
  <si>
    <t>0002901</t>
  </si>
  <si>
    <t>0002902</t>
  </si>
  <si>
    <t>0002903</t>
  </si>
  <si>
    <t>0002904</t>
  </si>
  <si>
    <t>0002905</t>
  </si>
  <si>
    <t>0002906</t>
  </si>
  <si>
    <t>0003001</t>
  </si>
  <si>
    <t>0003002</t>
  </si>
  <si>
    <t>0003003</t>
  </si>
  <si>
    <t>0003004</t>
  </si>
  <si>
    <t>0003005</t>
  </si>
  <si>
    <t>0003006</t>
  </si>
  <si>
    <t>0003007</t>
  </si>
  <si>
    <t>0003008</t>
  </si>
  <si>
    <t>0003009</t>
  </si>
  <si>
    <t>0003010</t>
  </si>
  <si>
    <t>0003011</t>
  </si>
  <si>
    <t>0003101</t>
  </si>
  <si>
    <t>0003102</t>
  </si>
  <si>
    <t>0003103</t>
  </si>
  <si>
    <t>0003201</t>
  </si>
  <si>
    <t>0003202</t>
  </si>
  <si>
    <t>0003203</t>
  </si>
  <si>
    <t>0003204</t>
  </si>
  <si>
    <t>0003205</t>
  </si>
  <si>
    <t>0003206</t>
  </si>
  <si>
    <t>0003207</t>
  </si>
  <si>
    <t>0003208</t>
  </si>
  <si>
    <t>0003209</t>
  </si>
  <si>
    <t>0003210</t>
  </si>
  <si>
    <t>0003211</t>
  </si>
  <si>
    <t>0003212</t>
  </si>
  <si>
    <t>0003213</t>
  </si>
  <si>
    <t>0003214</t>
  </si>
  <si>
    <t>0003215</t>
  </si>
  <si>
    <t>0003216</t>
  </si>
  <si>
    <t>0003217</t>
  </si>
  <si>
    <t>0003218</t>
  </si>
  <si>
    <t>0003219</t>
  </si>
  <si>
    <t>0003220</t>
  </si>
  <si>
    <t>0003221</t>
  </si>
  <si>
    <t>0003222</t>
  </si>
  <si>
    <t>0003223</t>
  </si>
  <si>
    <t>0003301</t>
  </si>
  <si>
    <t>0003302</t>
  </si>
  <si>
    <t>0003303</t>
  </si>
  <si>
    <t>0003304</t>
  </si>
  <si>
    <t>0003305</t>
  </si>
  <si>
    <t>0003306</t>
  </si>
  <si>
    <t>0003307</t>
  </si>
  <si>
    <t>0003308</t>
  </si>
  <si>
    <t>0003309</t>
  </si>
  <si>
    <t>0003310</t>
  </si>
  <si>
    <t>0003311</t>
  </si>
  <si>
    <t>0003312</t>
  </si>
  <si>
    <t>0003313</t>
  </si>
  <si>
    <t>0003314</t>
  </si>
  <si>
    <t>0003315</t>
  </si>
  <si>
    <t>0003316</t>
  </si>
  <si>
    <t>0003317</t>
  </si>
  <si>
    <t>0003318</t>
  </si>
  <si>
    <t>0003319</t>
  </si>
  <si>
    <t>0003320</t>
  </si>
  <si>
    <t>0003321</t>
  </si>
  <si>
    <t>0003322</t>
  </si>
  <si>
    <t>0003323</t>
  </si>
  <si>
    <t>0003324</t>
  </si>
  <si>
    <t>0003325</t>
  </si>
  <si>
    <t>0003326</t>
  </si>
  <si>
    <t>0003327</t>
  </si>
  <si>
    <t>0003328</t>
  </si>
  <si>
    <t>0003329</t>
  </si>
  <si>
    <t>0003401</t>
  </si>
  <si>
    <t>0003402</t>
  </si>
  <si>
    <t>0003501</t>
  </si>
  <si>
    <t>1703601</t>
  </si>
  <si>
    <t>Familia</t>
  </si>
  <si>
    <t>1803602</t>
  </si>
  <si>
    <t>Seda max</t>
  </si>
  <si>
    <t>1803701</t>
  </si>
  <si>
    <t>0003801</t>
  </si>
  <si>
    <t>0003802</t>
  </si>
  <si>
    <t>0003803</t>
  </si>
  <si>
    <t>0003804</t>
  </si>
  <si>
    <t>0003805</t>
  </si>
  <si>
    <t>0003806</t>
  </si>
  <si>
    <t>0003807</t>
  </si>
  <si>
    <t>0003808</t>
  </si>
  <si>
    <t>0003809</t>
  </si>
  <si>
    <t>0003810</t>
  </si>
  <si>
    <t>0003811</t>
  </si>
  <si>
    <t>0003812</t>
  </si>
  <si>
    <t>0003901</t>
  </si>
  <si>
    <t>0003902</t>
  </si>
  <si>
    <t>0003903</t>
  </si>
  <si>
    <t>0003904</t>
  </si>
  <si>
    <t>0003905</t>
  </si>
  <si>
    <t>0004001</t>
  </si>
  <si>
    <t>0004002</t>
  </si>
  <si>
    <t>0004003</t>
  </si>
  <si>
    <t>0004004</t>
  </si>
  <si>
    <t>0004005</t>
  </si>
  <si>
    <t>0004101</t>
  </si>
  <si>
    <t>0004102</t>
  </si>
  <si>
    <t>0004103</t>
  </si>
  <si>
    <t>0004104</t>
  </si>
  <si>
    <t>0004105</t>
  </si>
  <si>
    <t>0004106</t>
  </si>
  <si>
    <t>0004201</t>
  </si>
  <si>
    <t>CATEGORIA</t>
  </si>
  <si>
    <t>0602503</t>
  </si>
  <si>
    <t>0002806</t>
  </si>
  <si>
    <t>0002807</t>
  </si>
  <si>
    <t>0002808</t>
  </si>
  <si>
    <t>0100101</t>
  </si>
  <si>
    <t>CONTENIDO</t>
  </si>
  <si>
    <t>Tipo Documento</t>
  </si>
  <si>
    <t>Documento</t>
  </si>
  <si>
    <t>--</t>
  </si>
  <si>
    <t>No aplica</t>
  </si>
  <si>
    <t>C.C. Cedula de Ciudadania</t>
  </si>
  <si>
    <t>John Camargo</t>
  </si>
  <si>
    <t>Kr 40 # 23 b 51</t>
  </si>
  <si>
    <t>john-alex131@hotmail.com</t>
  </si>
  <si>
    <t>007007</t>
  </si>
  <si>
    <t>James Bond</t>
  </si>
  <si>
    <t>Avenida guatelmateca 123</t>
  </si>
  <si>
    <t>Ciudad de Mexico</t>
  </si>
  <si>
    <t>0070707</t>
  </si>
  <si>
    <t>bond007@gmail.com</t>
  </si>
  <si>
    <t>32535423</t>
  </si>
  <si>
    <t>nix</t>
  </si>
  <si>
    <t>MY HEART</t>
  </si>
  <si>
    <t>la mejor de chile</t>
  </si>
  <si>
    <t>77777777</t>
  </si>
  <si>
    <t>nixpuf@gmail.com</t>
  </si>
  <si>
    <t>sdgsdgsdd</t>
  </si>
  <si>
    <t>sgdgsd</t>
  </si>
  <si>
    <t>sdgsdgd</t>
  </si>
  <si>
    <t>gdgsdgsd</t>
  </si>
  <si>
    <t>sdgsdgsdgsdg</t>
  </si>
  <si>
    <t>sdgfdsghsfjd</t>
  </si>
  <si>
    <t>dsfgsdfhfd</t>
  </si>
  <si>
    <t>gdgsdgsdgsd</t>
  </si>
  <si>
    <t>Robert</t>
  </si>
  <si>
    <t>Kentucky</t>
  </si>
  <si>
    <t>Alabama</t>
  </si>
  <si>
    <t>alabama@asd.com</t>
  </si>
  <si>
    <t>Carlos</t>
  </si>
  <si>
    <t>NIT</t>
  </si>
  <si>
    <t>Albert</t>
  </si>
  <si>
    <t>San isidro</t>
  </si>
  <si>
    <t>Total:</t>
  </si>
  <si>
    <t>PRECIO UNITARIO</t>
  </si>
  <si>
    <t>Plastisol</t>
  </si>
  <si>
    <t>Whatsapp +57 3184278532</t>
  </si>
  <si>
    <r>
      <t xml:space="preserve">NIT </t>
    </r>
    <r>
      <rPr>
        <sz val="9"/>
        <color theme="1" tint="0.34998626667073579"/>
        <rFont val="Calibri"/>
        <family val="2"/>
        <scheme val="minor"/>
      </rPr>
      <t>123456789-1</t>
    </r>
    <r>
      <rPr>
        <b/>
        <sz val="9"/>
        <color theme="1" tint="0.34998626667073579"/>
        <rFont val="Calibri"/>
        <family val="2"/>
        <scheme val="minor"/>
      </rPr>
      <t xml:space="preserve"> </t>
    </r>
  </si>
  <si>
    <t>Todo lo relacionado con plasticos, precorte - bolsa manila, porta perro, pizza, hamburguesa. Bolsa de basura y otros..</t>
  </si>
  <si>
    <t>Cra 26 # 37-10  San Isidro</t>
  </si>
  <si>
    <t>Villavicencio / Meta</t>
  </si>
  <si>
    <t>Colombia</t>
  </si>
  <si>
    <t>FACTURA DE VENTA ELECTRONICA</t>
  </si>
  <si>
    <t>numero de factura:</t>
  </si>
  <si>
    <t xml:space="preserve">Fecha factura: </t>
  </si>
  <si>
    <t>Fecha Vencimiento:</t>
  </si>
  <si>
    <t>Hora:</t>
  </si>
  <si>
    <t>Forma de pago:</t>
  </si>
  <si>
    <t>Contado</t>
  </si>
  <si>
    <t>Medio de pago:</t>
  </si>
  <si>
    <t>Efectivo</t>
  </si>
  <si>
    <t>CANTIDAD</t>
  </si>
  <si>
    <t>VALOR UNITARIO</t>
  </si>
  <si>
    <t>SUBTOTAL:</t>
  </si>
  <si>
    <t>TOTAL A PAGAR:</t>
  </si>
  <si>
    <t>Elaborado por:</t>
  </si>
  <si>
    <t>Daniel Camargo</t>
  </si>
  <si>
    <t>CC. 1234.567.8900</t>
  </si>
  <si>
    <t>Gracias por su compra.</t>
  </si>
  <si>
    <t>*******************************************</t>
  </si>
  <si>
    <t>PLASTISOL</t>
  </si>
  <si>
    <t>NIT 123456789-1</t>
  </si>
  <si>
    <t>indsol@hotmail.com</t>
  </si>
  <si>
    <t>Villavicencio/Meta</t>
  </si>
  <si>
    <t>FECHA:</t>
  </si>
  <si>
    <t>HORA:</t>
  </si>
  <si>
    <t>FECHA VCTO:</t>
  </si>
  <si>
    <t>---------------------------------------------------------------------</t>
  </si>
  <si>
    <t>CLIENTE:</t>
  </si>
  <si>
    <t>NIT:</t>
  </si>
  <si>
    <t>EMAIL:</t>
  </si>
  <si>
    <t>TELEFONO:</t>
  </si>
  <si>
    <t>FORMA PAGO:</t>
  </si>
  <si>
    <t>MEDIO PAGO:</t>
  </si>
  <si>
    <t>[CANT] ARTICULO</t>
  </si>
  <si>
    <t>IMPORTE</t>
  </si>
  <si>
    <t>IVA:</t>
  </si>
  <si>
    <t>OTROS CARGOS:</t>
  </si>
  <si>
    <t>TOTAL:</t>
  </si>
  <si>
    <t>Representacion impresa de comprobante electronico</t>
  </si>
  <si>
    <t>dfdsgs</t>
  </si>
  <si>
    <t>dfgsgsf</t>
  </si>
  <si>
    <t>shsdsf</t>
  </si>
  <si>
    <t>sdfsdg</t>
  </si>
  <si>
    <t>erfsdgs</t>
  </si>
  <si>
    <t>fgsdgvs</t>
  </si>
  <si>
    <t>sdgsd</t>
  </si>
  <si>
    <t>ASFSDGS</t>
  </si>
  <si>
    <t>=IF(factura_ultima="FACTURA_ID",1,factura_ultima)</t>
  </si>
  <si>
    <t>Grand Total</t>
  </si>
  <si>
    <t xml:space="preserve">TOTAL </t>
  </si>
  <si>
    <t xml:space="preserve">CANTIDAD </t>
  </si>
  <si>
    <t xml:space="preserve">PRECIO UNITARIO </t>
  </si>
  <si>
    <t xml:space="preserve">DESCUENTO %  </t>
  </si>
  <si>
    <t>DESCUENTO:</t>
  </si>
  <si>
    <t>Descuento sobre la compra:</t>
  </si>
  <si>
    <t>FACTURA_ID</t>
  </si>
  <si>
    <t>FECHA</t>
  </si>
  <si>
    <t>HORA</t>
  </si>
  <si>
    <t>ID CLIENTE</t>
  </si>
  <si>
    <t>UNIDADES</t>
  </si>
  <si>
    <t>DESCUENTO</t>
  </si>
  <si>
    <t>FECHA REGISTRO</t>
  </si>
  <si>
    <t>FACTURA DE VENTA: 1</t>
  </si>
  <si>
    <t xml:space="preserve">[3] PARAFINADO ROJO ROLLO 100 METROS </t>
  </si>
  <si>
    <t xml:space="preserve">[2] PARAFINADO NEGRO ROLLO 100 METROS </t>
  </si>
  <si>
    <t xml:space="preserve">[2] PARAFINADO BLANCO ROLLO 100 METROS </t>
  </si>
  <si>
    <t>[1] BOLSILLO ALUMINIO PIZZA P-20</t>
  </si>
  <si>
    <t>[1] PALILLO PEQUENIO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</si>
</sst>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d/mm/yyyy;@"/>
    <numFmt numFmtId="166" formatCode="[$-F400]h:mm:ss\ AM/PM"/>
    <numFmt numFmtId="167" formatCode="_-[$$-240A]\ * #,##0.00_-;\-[$$-240A]\ * #,##0.00_-;_-[$$-240A]\ * &quot;-&quot;??_-;_-@_-"/>
    <numFmt numFmtId="168" formatCode="_-[$$-240A]\ * #,##0_-;\-[$$-240A]\ * #,##0_-;_-[$$-240A]\ * &quot;-&quot;??_-;_-@_-"/>
    <numFmt numFmtId="169" formatCode="h:mm:ss;@"/>
  </numFmts>
  <fonts count="41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i/>
      <sz val="12"/>
      <color theme="1" tint="0.34998626667073579"/>
      <name val="Calibri"/>
      <family val="2"/>
      <scheme val="minor"/>
    </font>
    <font>
      <sz val="11"/>
      <color rgb="FFDFF6F5"/>
      <name val="Century Gothic"/>
      <family val="2"/>
    </font>
    <font>
      <sz val="11"/>
      <color theme="1" tint="0.34998626667073579"/>
      <name val="Century Gothic"/>
      <family val="2"/>
    </font>
    <font>
      <sz val="8"/>
      <name val="Calibri"/>
      <family val="2"/>
      <scheme val="minor"/>
    </font>
    <font>
      <b/>
      <sz val="26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rgb="FF6C6F5D"/>
      <name val="Century Gothic"/>
      <family val="2"/>
    </font>
    <font>
      <sz val="9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i/>
      <sz val="9"/>
      <color theme="1" tint="0.34998626667073579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2"/>
      <color rgb="FF6C6F5D"/>
      <name val="Calibri"/>
      <family val="2"/>
      <scheme val="minor"/>
    </font>
    <font>
      <b/>
      <i/>
      <sz val="9"/>
      <color theme="1" tint="0.34998626667073579"/>
      <name val="Calibri"/>
      <family val="2"/>
      <scheme val="minor"/>
    </font>
    <font>
      <sz val="11"/>
      <color theme="1"/>
      <name val="Century Gothic"/>
      <family val="2"/>
    </font>
    <font>
      <sz val="11"/>
      <name val="Calibri"/>
      <family val="2"/>
      <scheme val="minor"/>
    </font>
    <font>
      <b/>
      <sz val="11"/>
      <color theme="1" tint="0.34998626667073579"/>
      <name val="Century Gothic"/>
      <family val="2"/>
    </font>
    <font>
      <sz val="9"/>
      <color theme="1" tint="0.34998626667073579"/>
      <name val="Century Gothic"/>
      <family val="2"/>
    </font>
    <font>
      <i/>
      <sz val="12"/>
      <color theme="1" tint="0.34998626667073579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b/>
      <sz val="22"/>
      <color theme="1" tint="0.249977111117893"/>
      <name val="Century Gothic"/>
      <family val="2"/>
    </font>
    <font>
      <i/>
      <sz val="10"/>
      <color theme="1" tint="0.34998626667073579"/>
      <name val="Courier New"/>
      <family val="3"/>
    </font>
    <font>
      <sz val="11"/>
      <color theme="1"/>
      <name val="Courier New"/>
      <family val="3"/>
    </font>
    <font>
      <sz val="12"/>
      <color theme="1" tint="0.34998626667073579"/>
      <name val="Courier New"/>
      <family val="3"/>
    </font>
    <font>
      <i/>
      <sz val="12"/>
      <color theme="1" tint="0.34998626667073579"/>
      <name val="Courier New"/>
      <family val="3"/>
    </font>
    <font>
      <b/>
      <sz val="14"/>
      <color theme="1" tint="0.34998626667073579"/>
      <name val="Courier New"/>
      <family val="3"/>
    </font>
    <font>
      <b/>
      <sz val="11"/>
      <color theme="1" tint="0.34998626667073579"/>
      <name val="Courier New"/>
      <family val="3"/>
    </font>
    <font>
      <sz val="11"/>
      <color theme="1" tint="0.34998626667073579"/>
      <name val="Courier New"/>
      <family val="3"/>
    </font>
    <font>
      <sz val="9"/>
      <color theme="1"/>
      <name val="Courier New"/>
      <family val="3"/>
    </font>
    <font>
      <i/>
      <sz val="9"/>
      <color theme="1" tint="0.34998626667073579"/>
      <name val="Courier New"/>
      <family val="3"/>
    </font>
    <font>
      <b/>
      <i/>
      <sz val="14"/>
      <color theme="1" tint="0.34998626667073579"/>
      <name val="Courier New"/>
      <family val="3"/>
    </font>
    <font>
      <sz val="14"/>
      <color theme="1" tint="0.34998626667073579"/>
      <name val="Courier New"/>
      <family val="3"/>
    </font>
    <font>
      <b/>
      <i/>
      <sz val="11"/>
      <color theme="1" tint="0.34998626667073579"/>
      <name val="Courier New"/>
      <family val="3"/>
    </font>
    <font>
      <i/>
      <sz val="11"/>
      <color theme="1" tint="0.34998626667073579"/>
      <name val="Courier New"/>
      <family val="3"/>
    </font>
    <font>
      <sz val="12"/>
      <color theme="0" tint="-0.499984740745262"/>
      <name val="Courier New"/>
      <family val="3"/>
    </font>
    <font>
      <sz val="11"/>
      <color theme="1"/>
      <name val="Century Gothic"/>
    </font>
    <font>
      <sz val="11"/>
      <color theme="0"/>
      <name val="Calibri"/>
      <family val="2"/>
      <scheme val="minor"/>
    </font>
    <font>
      <b/>
      <i/>
      <sz val="14"/>
      <color theme="0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2D9596"/>
        <bgColor indexed="64"/>
      </patternFill>
    </fill>
    <fill>
      <patternFill patternType="solid">
        <fgColor rgb="FFF3F8E4"/>
        <bgColor indexed="64"/>
      </patternFill>
    </fill>
    <fill>
      <patternFill patternType="solid">
        <fgColor rgb="FFF8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4659260841701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 style="thin">
        <color theme="0" tint="-0.14996795556505021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132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5" fillId="0" borderId="2" xfId="0" applyFont="1" applyBorder="1"/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2" fillId="0" borderId="1" xfId="0" applyNumberFormat="1" applyFont="1" applyBorder="1" applyAlignment="1"/>
    <xf numFmtId="49" fontId="4" fillId="2" borderId="0" xfId="0" applyNumberFormat="1" applyFont="1" applyFill="1"/>
    <xf numFmtId="0" fontId="5" fillId="0" borderId="2" xfId="0" applyNumberFormat="1" applyFont="1" applyBorder="1"/>
    <xf numFmtId="49" fontId="5" fillId="0" borderId="2" xfId="0" applyNumberFormat="1" applyFont="1" applyBorder="1" applyProtection="1">
      <protection locked="0"/>
    </xf>
    <xf numFmtId="0" fontId="0" fillId="0" borderId="1" xfId="0" applyBorder="1" applyAlignment="1">
      <alignment horizontal="right"/>
    </xf>
    <xf numFmtId="164" fontId="0" fillId="0" borderId="1" xfId="1" applyNumberFormat="1" applyFont="1" applyBorder="1"/>
    <xf numFmtId="0" fontId="0" fillId="0" borderId="0" xfId="0" quotePrefix="1"/>
    <xf numFmtId="164" fontId="5" fillId="0" borderId="2" xfId="0" applyNumberFormat="1" applyFont="1" applyBorder="1"/>
    <xf numFmtId="0" fontId="10" fillId="0" borderId="0" xfId="0" applyFont="1"/>
    <xf numFmtId="0" fontId="0" fillId="0" borderId="3" xfId="0" applyBorder="1"/>
    <xf numFmtId="0" fontId="11" fillId="0" borderId="4" xfId="0" applyFont="1" applyBorder="1" applyAlignment="1">
      <alignment horizontal="right" vertical="center"/>
    </xf>
    <xf numFmtId="0" fontId="12" fillId="0" borderId="0" xfId="0" applyFont="1" applyAlignment="1">
      <alignment horizontal="left"/>
    </xf>
    <xf numFmtId="0" fontId="13" fillId="0" borderId="4" xfId="0" applyFont="1" applyBorder="1" applyAlignment="1">
      <alignment horizontal="right" vertical="center" wrapText="1"/>
    </xf>
    <xf numFmtId="0" fontId="10" fillId="0" borderId="0" xfId="0" applyFont="1" applyAlignment="1">
      <alignment horizontal="left"/>
    </xf>
    <xf numFmtId="0" fontId="12" fillId="0" borderId="4" xfId="0" applyFont="1" applyBorder="1" applyAlignment="1">
      <alignment horizontal="right" vertic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5" xfId="0" applyFont="1" applyBorder="1" applyAlignment="1">
      <alignment horizontal="left" vertical="top" wrapText="1"/>
    </xf>
    <xf numFmtId="0" fontId="10" fillId="0" borderId="5" xfId="0" applyFont="1" applyBorder="1"/>
    <xf numFmtId="0" fontId="14" fillId="0" borderId="6" xfId="0" applyFont="1" applyBorder="1" applyAlignment="1">
      <alignment horizontal="right"/>
    </xf>
    <xf numFmtId="0" fontId="16" fillId="0" borderId="6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3" fillId="0" borderId="7" xfId="0" applyFont="1" applyBorder="1" applyAlignment="1">
      <alignment horizontal="right"/>
    </xf>
    <xf numFmtId="0" fontId="16" fillId="0" borderId="7" xfId="0" applyFont="1" applyBorder="1" applyAlignment="1">
      <alignment horizontal="right"/>
    </xf>
    <xf numFmtId="0" fontId="14" fillId="0" borderId="8" xfId="0" applyFont="1" applyBorder="1" applyAlignment="1">
      <alignment horizontal="right"/>
    </xf>
    <xf numFmtId="165" fontId="13" fillId="0" borderId="8" xfId="0" applyNumberFormat="1" applyFont="1" applyBorder="1" applyAlignment="1">
      <alignment horizontal="right"/>
    </xf>
    <xf numFmtId="0" fontId="14" fillId="0" borderId="9" xfId="0" applyFont="1" applyBorder="1" applyAlignment="1">
      <alignment horizontal="right"/>
    </xf>
    <xf numFmtId="166" fontId="13" fillId="0" borderId="8" xfId="0" applyNumberFormat="1" applyFont="1" applyBorder="1" applyAlignment="1">
      <alignment horizontal="right"/>
    </xf>
    <xf numFmtId="0" fontId="14" fillId="0" borderId="10" xfId="0" applyFont="1" applyBorder="1" applyAlignment="1">
      <alignment horizontal="right"/>
    </xf>
    <xf numFmtId="0" fontId="13" fillId="0" borderId="10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3" fillId="0" borderId="11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0" fillId="0" borderId="11" xfId="0" applyFont="1" applyBorder="1"/>
    <xf numFmtId="0" fontId="0" fillId="0" borderId="11" xfId="0" applyBorder="1"/>
    <xf numFmtId="0" fontId="17" fillId="0" borderId="0" xfId="0" applyFont="1"/>
    <xf numFmtId="0" fontId="18" fillId="0" borderId="3" xfId="0" applyFont="1" applyBorder="1"/>
    <xf numFmtId="0" fontId="18" fillId="0" borderId="0" xfId="0" applyFont="1"/>
    <xf numFmtId="0" fontId="21" fillId="0" borderId="0" xfId="0" applyFont="1" applyAlignment="1">
      <alignment horizontal="center"/>
    </xf>
    <xf numFmtId="0" fontId="21" fillId="0" borderId="6" xfId="0" applyFont="1" applyBorder="1" applyAlignment="1">
      <alignment horizontal="center"/>
    </xf>
    <xf numFmtId="0" fontId="29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31" fillId="0" borderId="0" xfId="0" applyFont="1"/>
    <xf numFmtId="0" fontId="25" fillId="0" borderId="0" xfId="0" applyFont="1"/>
    <xf numFmtId="0" fontId="32" fillId="0" borderId="0" xfId="0" applyFont="1" applyAlignment="1">
      <alignment horizontal="right"/>
    </xf>
    <xf numFmtId="0" fontId="29" fillId="0" borderId="19" xfId="0" applyFont="1" applyBorder="1" applyAlignment="1">
      <alignment vertical="center"/>
    </xf>
    <xf numFmtId="0" fontId="33" fillId="0" borderId="0" xfId="0" applyFont="1" applyAlignment="1">
      <alignment horizontal="right"/>
    </xf>
    <xf numFmtId="0" fontId="35" fillId="0" borderId="0" xfId="0" applyFont="1" applyAlignment="1">
      <alignment horizontal="right"/>
    </xf>
    <xf numFmtId="168" fontId="36" fillId="0" borderId="0" xfId="0" applyNumberFormat="1" applyFont="1" applyAlignment="1">
      <alignment horizontal="right"/>
    </xf>
    <xf numFmtId="0" fontId="25" fillId="0" borderId="0" xfId="0" quotePrefix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right"/>
    </xf>
    <xf numFmtId="0" fontId="0" fillId="0" borderId="2" xfId="0" applyBorder="1"/>
    <xf numFmtId="44" fontId="17" fillId="0" borderId="2" xfId="1" applyFont="1" applyBorder="1"/>
    <xf numFmtId="2" fontId="17" fillId="0" borderId="2" xfId="1" applyNumberFormat="1" applyFont="1" applyBorder="1"/>
    <xf numFmtId="2" fontId="17" fillId="0" borderId="2" xfId="0" applyNumberFormat="1" applyFont="1" applyBorder="1"/>
    <xf numFmtId="167" fontId="17" fillId="0" borderId="2" xfId="1" applyNumberFormat="1" applyFont="1" applyBorder="1"/>
    <xf numFmtId="0" fontId="17" fillId="0" borderId="2" xfId="0" applyFont="1" applyBorder="1"/>
    <xf numFmtId="0" fontId="38" fillId="0" borderId="0" xfId="0" pivotButton="1" applyFont="1"/>
    <xf numFmtId="0" fontId="38" fillId="0" borderId="0" xfId="0" applyFont="1"/>
    <xf numFmtId="0" fontId="38" fillId="0" borderId="0" xfId="0" applyNumberFormat="1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 applyProtection="1">
      <alignment horizontal="left"/>
      <protection locked="0"/>
    </xf>
    <xf numFmtId="0" fontId="7" fillId="0" borderId="0" xfId="0" applyFont="1" applyAlignment="1">
      <alignment horizontal="center" vertical="center"/>
    </xf>
    <xf numFmtId="0" fontId="0" fillId="0" borderId="2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19" fillId="5" borderId="12" xfId="0" applyFont="1" applyFill="1" applyBorder="1" applyAlignment="1">
      <alignment horizontal="right" vertical="center"/>
    </xf>
    <xf numFmtId="0" fontId="19" fillId="5" borderId="13" xfId="0" applyFont="1" applyFill="1" applyBorder="1" applyAlignment="1">
      <alignment horizontal="right" vertical="center"/>
    </xf>
    <xf numFmtId="0" fontId="19" fillId="5" borderId="14" xfId="0" applyFont="1" applyFill="1" applyBorder="1" applyAlignment="1">
      <alignment horizontal="right" vertical="center"/>
    </xf>
    <xf numFmtId="0" fontId="19" fillId="5" borderId="16" xfId="0" applyFont="1" applyFill="1" applyBorder="1" applyAlignment="1">
      <alignment horizontal="right" vertical="center"/>
    </xf>
    <xf numFmtId="0" fontId="19" fillId="5" borderId="6" xfId="0" applyFont="1" applyFill="1" applyBorder="1" applyAlignment="1">
      <alignment horizontal="right" vertical="center"/>
    </xf>
    <xf numFmtId="0" fontId="19" fillId="5" borderId="17" xfId="0" applyFont="1" applyFill="1" applyBorder="1" applyAlignment="1">
      <alignment horizontal="right" vertical="center"/>
    </xf>
    <xf numFmtId="168" fontId="19" fillId="5" borderId="15" xfId="0" applyNumberFormat="1" applyFont="1" applyFill="1" applyBorder="1" applyAlignment="1">
      <alignment horizontal="center" vertical="center"/>
    </xf>
    <xf numFmtId="168" fontId="19" fillId="5" borderId="18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wrapText="1"/>
    </xf>
    <xf numFmtId="0" fontId="22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15" fillId="0" borderId="5" xfId="0" applyFont="1" applyBorder="1" applyAlignment="1">
      <alignment horizontal="right" vertical="center"/>
    </xf>
    <xf numFmtId="0" fontId="5" fillId="0" borderId="12" xfId="0" applyFont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14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5" fillId="0" borderId="6" xfId="0" applyFont="1" applyBorder="1" applyAlignment="1">
      <alignment horizontal="right" vertical="center"/>
    </xf>
    <xf numFmtId="0" fontId="5" fillId="0" borderId="17" xfId="0" applyFont="1" applyBorder="1" applyAlignment="1">
      <alignment horizontal="right" vertical="center"/>
    </xf>
    <xf numFmtId="167" fontId="5" fillId="0" borderId="15" xfId="0" applyNumberFormat="1" applyFont="1" applyBorder="1" applyAlignment="1">
      <alignment horizontal="center" vertical="center"/>
    </xf>
    <xf numFmtId="167" fontId="5" fillId="0" borderId="1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6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top" wrapText="1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vertical="top" wrapText="1"/>
    </xf>
    <xf numFmtId="165" fontId="30" fillId="0" borderId="0" xfId="0" applyNumberFormat="1" applyFont="1" applyAlignment="1">
      <alignment horizontal="left" vertical="center"/>
    </xf>
    <xf numFmtId="169" fontId="30" fillId="0" borderId="0" xfId="0" applyNumberFormat="1" applyFont="1" applyAlignment="1">
      <alignment horizontal="left" vertical="center"/>
    </xf>
    <xf numFmtId="0" fontId="25" fillId="0" borderId="0" xfId="0" quotePrefix="1" applyFont="1" applyAlignment="1">
      <alignment horizontal="center" vertical="center"/>
    </xf>
    <xf numFmtId="0" fontId="33" fillId="0" borderId="0" xfId="0" applyFont="1" applyAlignment="1">
      <alignment horizontal="right"/>
    </xf>
    <xf numFmtId="0" fontId="29" fillId="0" borderId="19" xfId="0" applyFont="1" applyBorder="1" applyAlignment="1">
      <alignment horizontal="right" vertical="center"/>
    </xf>
    <xf numFmtId="0" fontId="37" fillId="0" borderId="0" xfId="0" quotePrefix="1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68" fontId="34" fillId="0" borderId="0" xfId="0" applyNumberFormat="1" applyFont="1" applyAlignment="1">
      <alignment horizontal="center"/>
    </xf>
    <xf numFmtId="0" fontId="28" fillId="0" borderId="0" xfId="0" applyFont="1" applyAlignment="1">
      <alignment vertical="top" wrapText="1"/>
    </xf>
    <xf numFmtId="168" fontId="34" fillId="0" borderId="0" xfId="0" applyNumberFormat="1" applyFont="1" applyAlignment="1"/>
    <xf numFmtId="0" fontId="26" fillId="0" borderId="22" xfId="0" applyFont="1" applyBorder="1" applyAlignment="1">
      <alignment horizontal="left" vertical="top" wrapText="1"/>
    </xf>
    <xf numFmtId="168" fontId="34" fillId="0" borderId="0" xfId="0" applyNumberFormat="1" applyFont="1" applyAlignment="1">
      <alignment horizontal="left"/>
    </xf>
    <xf numFmtId="0" fontId="40" fillId="0" borderId="0" xfId="0" applyFont="1" applyAlignment="1">
      <alignment horizontal="right"/>
    </xf>
    <xf numFmtId="0" fontId="40" fillId="0" borderId="0" xfId="0" applyFont="1" applyAlignment="1">
      <alignment horizontal="right"/>
    </xf>
    <xf numFmtId="0" fontId="39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164" fontId="26" fillId="0" borderId="0" xfId="0" applyNumberFormat="1" applyFont="1" applyAlignment="1">
      <alignment horizontal="right" vertical="top" wrapText="1"/>
    </xf>
    <xf numFmtId="0" fontId="26" fillId="0" borderId="0" xfId="0" applyFont="1" applyAlignment="1">
      <alignment horizontal="right" vertical="top" wrapText="1"/>
    </xf>
    <xf numFmtId="164" fontId="26" fillId="0" borderId="0" xfId="0" applyNumberFormat="1" applyFont="1" applyAlignment="1">
      <alignment horizontal="right" vertical="top" wrapText="1"/>
    </xf>
    <xf numFmtId="0" fontId="26" fillId="0" borderId="0" xfId="0" applyFont="1" applyAlignment="1">
      <alignment horizontal="right" vertical="top" wrapText="1"/>
    </xf>
  </cellXfs>
  <cellStyles count="2">
    <cellStyle name="Currency" xfId="1" builtinId="4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font>
        <name val="Century Gothic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64" formatCode="_(&quot;$&quot;* #,##0_);_(&quot;$&quot;* \(#,##0\);_(&quot;$&quot;* &quot;-&quot;??_);_(@_)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30" formatCode="@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  <protection locked="0" hidden="0"/>
    </dxf>
    <dxf>
      <font>
        <color rgb="FFDFF6F5"/>
      </font>
      <fill>
        <patternFill patternType="none">
          <bgColor auto="1"/>
        </patternFill>
      </fill>
      <border diagonalUp="0" diagonalDown="0">
        <left/>
        <right/>
        <top style="thin">
          <color theme="0" tint="-0.24994659260841701"/>
        </top>
        <bottom/>
        <vertical/>
        <horizontal/>
      </border>
    </dxf>
    <dxf>
      <font>
        <color rgb="FFDFF6F5"/>
      </font>
      <fill>
        <patternFill>
          <bgColor rgb="FF2D9596"/>
        </patternFill>
      </fill>
      <border diagonalUp="0" diagonalDown="0">
        <left/>
        <right/>
        <top/>
        <bottom/>
        <vertical/>
        <horizontal/>
      </border>
    </dxf>
    <dxf>
      <font>
        <color theme="1" tint="0.34998626667073579"/>
      </font>
      <border>
        <left style="thin">
          <color theme="0" tint="-0.24994659260841701"/>
        </left>
        <right style="thin">
          <color theme="0" tint="-0.24994659260841701"/>
        </right>
        <bottom/>
        <vertical style="thin">
          <color theme="0" tint="-0.24994659260841701"/>
        </vertical>
        <horizontal/>
      </border>
    </dxf>
    <dxf>
      <font>
        <color theme="0"/>
      </font>
    </dxf>
    <dxf>
      <font>
        <color rgb="FFDFF6F5"/>
      </font>
      <fill>
        <patternFill>
          <bgColor rgb="FF2D9596"/>
        </patternFill>
      </fill>
      <border diagonalUp="0" diagonalDown="0">
        <left/>
        <right/>
        <top/>
        <bottom/>
        <vertical/>
        <horizontal/>
      </border>
    </dxf>
    <dxf>
      <font>
        <color theme="1" tint="0.34998626667073579"/>
      </font>
      <border>
        <left style="thin">
          <color theme="0" tint="-0.24994659260841701"/>
        </left>
        <right style="thin">
          <color theme="0" tint="-0.24994659260841701"/>
        </right>
        <vertical style="thin">
          <color theme="0" tint="-0.24994659260841701"/>
        </vertical>
      </border>
    </dxf>
  </dxfs>
  <tableStyles count="2" defaultTableStyle="TableStyleMedium2" defaultPivotStyle="PivotStyleLight16">
    <tableStyle name="Plastisol-pivot" table="0" count="3" xr9:uid="{1F20A023-9A8D-4626-BCBE-5A79DDED527D}">
      <tableStyleElement type="wholeTable" dxfId="16"/>
      <tableStyleElement type="headerRow" dxfId="15"/>
      <tableStyleElement type="totalRow" dxfId="14"/>
    </tableStyle>
    <tableStyle name="Plastisol-table" pivot="0" count="3" xr9:uid="{B641C04D-77AD-4233-8CD2-4B967CE06357}">
      <tableStyleElement type="wholeTable" dxfId="13"/>
      <tableStyleElement type="headerRow" dxfId="12"/>
      <tableStyleElement type="totalRow" dxfId="11"/>
    </tableStyle>
  </tableStyles>
  <colors>
    <mruColors>
      <color rgb="FFDFF6F5"/>
      <color rgb="FF2D9596"/>
      <color rgb="FF2650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32657</xdr:colOff>
      <xdr:row>4</xdr:row>
      <xdr:rowOff>152400</xdr:rowOff>
    </xdr:from>
    <xdr:to>
      <xdr:col>2</xdr:col>
      <xdr:colOff>2234712</xdr:colOff>
      <xdr:row>7</xdr:row>
      <xdr:rowOff>185057</xdr:rowOff>
    </xdr:to>
    <xdr:sp macro="[0]!Config_Clien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EB8A66E-30F6-D96D-989B-66FFEDB1A79A}"/>
            </a:ext>
          </a:extLst>
        </xdr:cNvPr>
        <xdr:cNvSpPr/>
      </xdr:nvSpPr>
      <xdr:spPr>
        <a:xfrm>
          <a:off x="296426" y="914400"/>
          <a:ext cx="2920094" cy="604157"/>
        </a:xfrm>
        <a:prstGeom prst="roundRect">
          <a:avLst/>
        </a:prstGeom>
        <a:solidFill>
          <a:srgbClr val="26507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800">
              <a:solidFill>
                <a:schemeClr val="lt1"/>
              </a:solidFill>
              <a:latin typeface="+mn-lt"/>
              <a:ea typeface="+mn-ea"/>
              <a:cs typeface="+mn-cs"/>
            </a:rPr>
            <a:t>CONFIGURAR </a:t>
          </a:r>
          <a:r>
            <a:rPr lang="es-CO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CLIENTE</a:t>
          </a:r>
          <a:endParaRPr lang="es-CO" sz="18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2322635</xdr:colOff>
      <xdr:row>4</xdr:row>
      <xdr:rowOff>161192</xdr:rowOff>
    </xdr:from>
    <xdr:to>
      <xdr:col>4</xdr:col>
      <xdr:colOff>696057</xdr:colOff>
      <xdr:row>8</xdr:row>
      <xdr:rowOff>3349</xdr:rowOff>
    </xdr:to>
    <xdr:sp macro="[0]!crear_recib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E3DD567-417A-40C1-AAAC-1E339A2AB10F}"/>
            </a:ext>
          </a:extLst>
        </xdr:cNvPr>
        <xdr:cNvSpPr/>
      </xdr:nvSpPr>
      <xdr:spPr>
        <a:xfrm>
          <a:off x="3304443" y="923192"/>
          <a:ext cx="3319095" cy="604157"/>
        </a:xfrm>
        <a:prstGeom prst="roundRect">
          <a:avLst/>
        </a:prstGeom>
        <a:solidFill>
          <a:srgbClr val="26507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800">
              <a:solidFill>
                <a:schemeClr val="lt1"/>
              </a:solidFill>
              <a:latin typeface="+mn-lt"/>
              <a:ea typeface="+mn-ea"/>
              <a:cs typeface="+mn-cs"/>
            </a:rPr>
            <a:t>CREAR</a:t>
          </a:r>
          <a:r>
            <a:rPr lang="es-CO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RECIBO</a:t>
          </a:r>
          <a:endParaRPr lang="es-CO" sz="18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769327</xdr:colOff>
      <xdr:row>4</xdr:row>
      <xdr:rowOff>153865</xdr:rowOff>
    </xdr:from>
    <xdr:to>
      <xdr:col>6</xdr:col>
      <xdr:colOff>1099039</xdr:colOff>
      <xdr:row>7</xdr:row>
      <xdr:rowOff>186522</xdr:rowOff>
    </xdr:to>
    <xdr:sp macro="[0]!reset_creado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E9EC33-27CB-4A16-A70C-8AB0F2BADD42}"/>
            </a:ext>
          </a:extLst>
        </xdr:cNvPr>
        <xdr:cNvSpPr/>
      </xdr:nvSpPr>
      <xdr:spPr>
        <a:xfrm>
          <a:off x="6696808" y="915865"/>
          <a:ext cx="2747596" cy="604157"/>
        </a:xfrm>
        <a:prstGeom prst="roundRect">
          <a:avLst/>
        </a:prstGeom>
        <a:solidFill>
          <a:srgbClr val="F2B058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800">
              <a:solidFill>
                <a:schemeClr val="lt1"/>
              </a:solidFill>
              <a:latin typeface="+mn-lt"/>
              <a:ea typeface="+mn-ea"/>
              <a:cs typeface="+mn-cs"/>
            </a:rPr>
            <a:t>LIMPIAR</a:t>
          </a:r>
          <a:r>
            <a:rPr lang="es-CO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HOJA</a:t>
          </a:r>
          <a:endParaRPr lang="es-CO" sz="18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61433</xdr:colOff>
      <xdr:row>1</xdr:row>
      <xdr:rowOff>43156</xdr:rowOff>
    </xdr:from>
    <xdr:to>
      <xdr:col>1</xdr:col>
      <xdr:colOff>516628</xdr:colOff>
      <xdr:row>3</xdr:row>
      <xdr:rowOff>119356</xdr:rowOff>
    </xdr:to>
    <xdr:sp macro="" textlink="">
      <xdr:nvSpPr>
        <xdr:cNvPr id="2" name="Sun 1">
          <a:extLst>
            <a:ext uri="{FF2B5EF4-FFF2-40B4-BE49-F238E27FC236}">
              <a16:creationId xmlns:a16="http://schemas.microsoft.com/office/drawing/2014/main" id="{9EE76C79-38B4-40D2-878C-07BE9379BC3A}"/>
            </a:ext>
          </a:extLst>
        </xdr:cNvPr>
        <xdr:cNvSpPr/>
      </xdr:nvSpPr>
      <xdr:spPr>
        <a:xfrm>
          <a:off x="442433" y="233656"/>
          <a:ext cx="455195" cy="457200"/>
        </a:xfrm>
        <a:prstGeom prst="sun">
          <a:avLst/>
        </a:prstGeom>
        <a:solidFill>
          <a:srgbClr val="6C6F5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290080</xdr:colOff>
      <xdr:row>2</xdr:row>
      <xdr:rowOff>80894</xdr:rowOff>
    </xdr:from>
    <xdr:to>
      <xdr:col>1</xdr:col>
      <xdr:colOff>551312</xdr:colOff>
      <xdr:row>3</xdr:row>
      <xdr:rowOff>139286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C926CB4-705E-471B-8452-76A7F61487D4}"/>
            </a:ext>
          </a:extLst>
        </xdr:cNvPr>
        <xdr:cNvSpPr/>
      </xdr:nvSpPr>
      <xdr:spPr>
        <a:xfrm>
          <a:off x="671080" y="461894"/>
          <a:ext cx="261232" cy="248892"/>
        </a:xfrm>
        <a:prstGeom prst="rect">
          <a:avLst/>
        </a:prstGeom>
        <a:solidFill>
          <a:srgbClr val="F3F8E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1</xdr:col>
      <xdr:colOff>269593</xdr:colOff>
      <xdr:row>1</xdr:row>
      <xdr:rowOff>182838</xdr:rowOff>
    </xdr:from>
    <xdr:ext cx="1464825" cy="38327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9902341-F5F7-4B57-8151-47DE6F710A97}"/>
            </a:ext>
          </a:extLst>
        </xdr:cNvPr>
        <xdr:cNvSpPr txBox="1"/>
      </xdr:nvSpPr>
      <xdr:spPr>
        <a:xfrm>
          <a:off x="650593" y="373338"/>
          <a:ext cx="1464825" cy="383271"/>
        </a:xfrm>
        <a:prstGeom prst="round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0" tIns="0" rIns="0" bIns="0" rtlCol="0" anchor="t">
          <a:noAutofit/>
        </a:bodyPr>
        <a:lstStyle/>
        <a:p>
          <a:pPr algn="l"/>
          <a:r>
            <a:rPr lang="es-CO" sz="2400" b="1">
              <a:ln>
                <a:noFill/>
              </a:ln>
              <a:solidFill>
                <a:srgbClr val="6C6F5D"/>
              </a:solidFill>
              <a:latin typeface="Century Gothic" panose="020B0502020202020204" pitchFamily="34" charset="0"/>
            </a:rPr>
            <a:t>PLASTISOL</a:t>
          </a:r>
        </a:p>
      </xdr:txBody>
    </xdr:sp>
    <xdr:clientData/>
  </xdr:oneCellAnchor>
  <xdr:twoCellAnchor editAs="oneCell">
    <xdr:from>
      <xdr:col>2</xdr:col>
      <xdr:colOff>65942</xdr:colOff>
      <xdr:row>24</xdr:row>
      <xdr:rowOff>88661</xdr:rowOff>
    </xdr:from>
    <xdr:to>
      <xdr:col>7</xdr:col>
      <xdr:colOff>243229</xdr:colOff>
      <xdr:row>33</xdr:row>
      <xdr:rowOff>155782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5BF79B0-108B-4472-88BB-35C869BD8D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20000"/>
        </a:blip>
        <a:srcRect t="7279"/>
        <a:stretch/>
      </xdr:blipFill>
      <xdr:spPr>
        <a:xfrm>
          <a:off x="1355480" y="4997699"/>
          <a:ext cx="7570153" cy="197944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9</xdr:col>
      <xdr:colOff>0</xdr:colOff>
      <xdr:row>1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3822C86-D8AC-48C8-8260-F6D3CFF34265}"/>
            </a:ext>
          </a:extLst>
        </xdr:cNvPr>
        <xdr:cNvCxnSpPr/>
      </xdr:nvCxnSpPr>
      <xdr:spPr>
        <a:xfrm>
          <a:off x="0" y="190500"/>
          <a:ext cx="9677400" cy="0"/>
        </a:xfrm>
        <a:prstGeom prst="line">
          <a:avLst/>
        </a:prstGeom>
        <a:ln w="12700" cap="rnd">
          <a:solidFill>
            <a:srgbClr val="6C6F5D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392206</xdr:colOff>
      <xdr:row>0</xdr:row>
      <xdr:rowOff>156882</xdr:rowOff>
    </xdr:from>
    <xdr:to>
      <xdr:col>15</xdr:col>
      <xdr:colOff>392206</xdr:colOff>
      <xdr:row>20</xdr:row>
      <xdr:rowOff>33617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16EF08A6-170E-4437-B54B-FEC5F1C899BE}"/>
            </a:ext>
          </a:extLst>
        </xdr:cNvPr>
        <xdr:cNvGrpSpPr/>
      </xdr:nvGrpSpPr>
      <xdr:grpSpPr>
        <a:xfrm>
          <a:off x="11236052" y="156882"/>
          <a:ext cx="3648808" cy="3723370"/>
          <a:chOff x="10074088" y="156882"/>
          <a:chExt cx="3630706" cy="3731559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CFD99EC-55A1-2E9A-2669-CB65EEAB948E}"/>
              </a:ext>
            </a:extLst>
          </xdr:cNvPr>
          <xdr:cNvSpPr/>
        </xdr:nvSpPr>
        <xdr:spPr>
          <a:xfrm>
            <a:off x="10074088" y="156882"/>
            <a:ext cx="3630706" cy="3731559"/>
          </a:xfrm>
          <a:prstGeom prst="roundRect">
            <a:avLst>
              <a:gd name="adj" fmla="val 8334"/>
            </a:avLst>
          </a:prstGeom>
          <a:solidFill>
            <a:schemeClr val="bg1"/>
          </a:solidFill>
          <a:ln w="38100"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CO" sz="2000" b="0" i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CONTROL</a:t>
            </a:r>
            <a:r>
              <a:rPr lang="es-CO" sz="2000" b="0" i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 FACTURACION</a:t>
            </a:r>
            <a:endParaRPr lang="es-CO" sz="2000" b="0" i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F554AE2E-F8AD-067E-D3B9-45088D69C8E5}"/>
              </a:ext>
            </a:extLst>
          </xdr:cNvPr>
          <xdr:cNvSpPr/>
        </xdr:nvSpPr>
        <xdr:spPr>
          <a:xfrm>
            <a:off x="10680324" y="1624853"/>
            <a:ext cx="2419351" cy="504265"/>
          </a:xfrm>
          <a:prstGeom prst="roundRect">
            <a:avLst/>
          </a:prstGeom>
          <a:solidFill>
            <a:srgbClr val="265073"/>
          </a:solidFill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0">
                <a:solidFill>
                  <a:schemeClr val="bg1"/>
                </a:solidFill>
                <a:latin typeface="Century Gothic" panose="020B0502020202020204" pitchFamily="34" charset="0"/>
              </a:rPr>
              <a:t>SOLO IMPRIMIR</a:t>
            </a:r>
          </a:p>
        </xdr:txBody>
      </xdr:sp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F5B31398-BB83-59AD-940F-9463A9920606}"/>
              </a:ext>
            </a:extLst>
          </xdr:cNvPr>
          <xdr:cNvSpPr/>
        </xdr:nvSpPr>
        <xdr:spPr>
          <a:xfrm>
            <a:off x="10679206" y="2286002"/>
            <a:ext cx="2420470" cy="481852"/>
          </a:xfrm>
          <a:prstGeom prst="roundRect">
            <a:avLst/>
          </a:prstGeom>
          <a:solidFill>
            <a:srgbClr val="265073"/>
          </a:solidFill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0" baseline="0">
                <a:solidFill>
                  <a:schemeClr val="bg1"/>
                </a:solidFill>
                <a:latin typeface="Century Gothic" panose="020B0502020202020204" pitchFamily="34" charset="0"/>
              </a:rPr>
              <a:t>ENVIAR AL CORREO</a:t>
            </a:r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63CD5208-0667-B69C-F0F8-94FD1D44AC33}"/>
              </a:ext>
            </a:extLst>
          </xdr:cNvPr>
          <xdr:cNvSpPr/>
        </xdr:nvSpPr>
        <xdr:spPr>
          <a:xfrm>
            <a:off x="10679206" y="2924736"/>
            <a:ext cx="2420470" cy="481852"/>
          </a:xfrm>
          <a:prstGeom prst="roundRect">
            <a:avLst/>
          </a:prstGeom>
          <a:solidFill>
            <a:srgbClr val="6AB466"/>
          </a:solidFill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0" baseline="0">
                <a:solidFill>
                  <a:schemeClr val="bg1"/>
                </a:solidFill>
                <a:latin typeface="Century Gothic" panose="020B0502020202020204" pitchFamily="34" charset="0"/>
              </a:rPr>
              <a:t>ENVIAR E IMPRIMIR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CE" refreshedDate="45462.486301736113" createdVersion="8" refreshedVersion="8" minRefreshableVersion="3" recordCount="249" xr:uid="{EF0D1A1A-1C7E-44AD-88F4-F5DADAA58847}">
  <cacheSource type="worksheet">
    <worksheetSource name="tb_lectura"/>
  </cacheSource>
  <cacheFields count="9">
    <cacheField name="ID" numFmtId="49">
      <sharedItems containsBlank="1" count="6">
        <s v="0100101"/>
        <s v="0000102"/>
        <s v="0000103"/>
        <s v="0001206"/>
        <s v="0001004"/>
        <m/>
      </sharedItems>
    </cacheField>
    <cacheField name="DESCRIPCION" numFmtId="0">
      <sharedItems count="6">
        <s v="PARAFINADO ROJO ROLLO 100 METROS "/>
        <s v="PARAFINADO NEGRO ROLLO 100 METROS "/>
        <s v="PARAFINADO BLANCO ROLLO 100 METROS "/>
        <s v="BOLSILLO ALUMINIO PIZZA P-20"/>
        <s v="PALILLO PEQUENIO"/>
        <s v=""/>
      </sharedItems>
    </cacheField>
    <cacheField name="PRECIO UNITARIO" numFmtId="164">
      <sharedItems containsMixedTypes="1" containsNumber="1" containsInteger="1" minValue="800" maxValue="13000"/>
    </cacheField>
    <cacheField name="DESCUENTO % " numFmtId="0">
      <sharedItems containsMixedTypes="1" containsNumber="1" containsInteger="1" minValue="0" maxValue="0"/>
    </cacheField>
    <cacheField name="MARCA" numFmtId="0">
      <sharedItems count="2">
        <s v="No Aplica"/>
        <s v=""/>
      </sharedItems>
    </cacheField>
    <cacheField name="CONTENIDO" numFmtId="0">
      <sharedItems/>
    </cacheField>
    <cacheField name="CANTIDAD" numFmtId="0">
      <sharedItems containsSemiMixedTypes="0" containsString="0" containsNumber="1" containsInteger="1" minValue="1" maxValue="1"/>
    </cacheField>
    <cacheField name="TOTAL" numFmtId="0" formula="'PRECIO UNITARIO'-DESCUENTO" databaseField="0"/>
    <cacheField name="DESCUENTO" numFmtId="0" formula="'PRECIO UNITARIO'*'DESCUENTO % 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">
  <r>
    <x v="0"/>
    <x v="0"/>
    <n v="13000"/>
    <n v="0"/>
    <x v="0"/>
    <s v="1 U"/>
    <n v="1"/>
  </r>
  <r>
    <x v="0"/>
    <x v="0"/>
    <n v="13000"/>
    <n v="0"/>
    <x v="0"/>
    <s v="1 U"/>
    <n v="1"/>
  </r>
  <r>
    <x v="0"/>
    <x v="0"/>
    <n v="13000"/>
    <n v="0"/>
    <x v="0"/>
    <s v="1 U"/>
    <n v="1"/>
  </r>
  <r>
    <x v="1"/>
    <x v="1"/>
    <n v="13000"/>
    <n v="0"/>
    <x v="0"/>
    <s v=" U"/>
    <n v="1"/>
  </r>
  <r>
    <x v="1"/>
    <x v="1"/>
    <n v="13000"/>
    <n v="0"/>
    <x v="0"/>
    <s v=" U"/>
    <n v="1"/>
  </r>
  <r>
    <x v="2"/>
    <x v="2"/>
    <n v="13000"/>
    <n v="0"/>
    <x v="0"/>
    <s v=" U"/>
    <n v="1"/>
  </r>
  <r>
    <x v="3"/>
    <x v="3"/>
    <n v="3500"/>
    <n v="0"/>
    <x v="0"/>
    <s v=" U"/>
    <n v="1"/>
  </r>
  <r>
    <x v="4"/>
    <x v="4"/>
    <n v="800"/>
    <n v="0"/>
    <x v="0"/>
    <s v=" U"/>
    <n v="1"/>
  </r>
  <r>
    <x v="2"/>
    <x v="2"/>
    <n v="13000"/>
    <n v="0"/>
    <x v="0"/>
    <s v=" U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  <r>
    <x v="5"/>
    <x v="5"/>
    <s v=""/>
    <s v=""/>
    <x v="1"/>
    <s v=" 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31E586-A7BA-4948-A7DB-E0582367A8CE}" name="PivotTable1" cacheId="77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B17:H23" firstHeaderRow="0" firstDataRow="1" firstDataCol="3"/>
  <pivotFields count="9">
    <pivotField axis="axisRow" compact="0" outline="0" showAll="0" defaultSubtotal="0">
      <items count="6">
        <item h="1" x="5"/>
        <item x="0"/>
        <item x="1"/>
        <item x="2"/>
        <item x="3"/>
        <item x="4"/>
      </items>
    </pivotField>
    <pivotField axis="axisRow" compact="0" outline="0" showAll="0" defaultSubtotal="0">
      <items count="6">
        <item x="5"/>
        <item x="3"/>
        <item x="4"/>
        <item x="2"/>
        <item x="1"/>
        <item x="0"/>
      </items>
    </pivotField>
    <pivotField dataField="1" compact="0" outline="0" showAll="0" defaultSubtotal="0"/>
    <pivotField dataField="1"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dataField="1" compact="0" outline="0" subtotalTop="0" showAll="0" defaultSubtotal="0"/>
    <pivotField dataField="1"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3">
    <field x="0"/>
    <field x="1"/>
    <field x="4"/>
  </rowFields>
  <rowItems count="6">
    <i>
      <x v="1"/>
      <x v="5"/>
      <x v="1"/>
    </i>
    <i>
      <x v="2"/>
      <x v="4"/>
      <x v="1"/>
    </i>
    <i>
      <x v="3"/>
      <x v="3"/>
      <x v="1"/>
    </i>
    <i>
      <x v="4"/>
      <x v="1"/>
      <x v="1"/>
    </i>
    <i>
      <x v="5"/>
      <x v="2"/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ANTIDAD " fld="6" baseField="3" baseItem="0"/>
    <dataField name="PRECIO UNITARIO " fld="2" subtotal="max" baseField="0" baseItem="0"/>
    <dataField name="DESCUENTO %  " fld="3" subtotal="max" baseField="1" baseItem="5"/>
    <dataField name="TOTAL " fld="7" baseField="3" baseItem="0"/>
  </dataFields>
  <formats count="1">
    <format dxfId="3">
      <pivotArea type="all" dataOnly="0" outline="0" fieldPosition="0"/>
    </format>
  </formats>
  <pivotTableStyleInfo name="Plastisol-pivot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19C3F2-7F06-4663-9B33-598C01509CFE}" autoFormatId="16" applyNumberFormats="0" applyBorderFormats="0" applyFontFormats="0" applyPatternFormats="0" applyAlignmentFormats="0" applyWidthHeightFormats="0">
  <queryTableRefresh nextId="9">
    <queryTableFields count="8">
      <queryTableField id="1" name="ID PRODUCTO" tableColumnId="1"/>
      <queryTableField id="2" name="DESCRIPCION" tableColumnId="2"/>
      <queryTableField id="3" name="CATEGORIA" tableColumnId="3"/>
      <queryTableField id="4" name="MARCA" tableColumnId="4"/>
      <queryTableField id="5" name="UNIDAD" tableColumnId="5"/>
      <queryTableField id="6" name="CANTIDAD UNIDADES" tableColumnId="6"/>
      <queryTableField id="7" name="precio unitario" tableColumnId="7"/>
      <queryTableField id="8" name="Descuento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BBF6B27-BD7E-4AA2-A18F-4DA1E0F5F6A6}" autoFormatId="16" applyNumberFormats="0" applyBorderFormats="0" applyFontFormats="0" applyPatternFormats="0" applyAlignmentFormats="0" applyWidthHeightFormats="0">
  <queryTableRefresh nextId="8">
    <queryTableFields count="7">
      <queryTableField id="1" name="Tipo Documento" tableColumnId="1"/>
      <queryTableField id="2" name="Documento" tableColumnId="2"/>
      <queryTableField id="3" name="NOMBRE" tableColumnId="3"/>
      <queryTableField id="4" name="DIRECCION" tableColumnId="4"/>
      <queryTableField id="5" name="CIUDAD" tableColumnId="5"/>
      <queryTableField id="6" name="TELEFONO" tableColumnId="6"/>
      <queryTableField id="7" name="EMAIL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3FE038A-6DC1-4825-8966-723C0E8329E2}" autoFormatId="16" applyNumberFormats="0" applyBorderFormats="0" applyFontFormats="0" applyPatternFormats="0" applyAlignmentFormats="0" applyWidthHeightFormats="0">
  <queryTableRefresh nextId="13">
    <queryTableFields count="12">
      <queryTableField id="1" name="FACTURA_ID" tableColumnId="1"/>
      <queryTableField id="2" name="FECHA" tableColumnId="2"/>
      <queryTableField id="3" name="HORA" tableColumnId="3"/>
      <queryTableField id="4" name="ID CLIENTE" tableColumnId="4"/>
      <queryTableField id="5" name="NOMBRE" tableColumnId="5"/>
      <queryTableField id="6" name="ID PRODUCTO" tableColumnId="6"/>
      <queryTableField id="7" name="DESCRIPCION" tableColumnId="7"/>
      <queryTableField id="8" name="UNIDADES" tableColumnId="8"/>
      <queryTableField id="9" name="VALOR UNITARIO" tableColumnId="9"/>
      <queryTableField id="10" name="DESCUENTO" tableColumnId="10"/>
      <queryTableField id="11" name="IMPORTE" tableColumnId="11"/>
      <queryTableField id="12" name="FECHA REGISTRO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53D476-7F70-4EB3-9843-3D0B1E8C1E69}" name="tb_lectura" displayName="tb_lectura" ref="B17:H266" totalsRowShown="0">
  <autoFilter ref="B17:H266" xr:uid="{6453D476-7F70-4EB3-9843-3D0B1E8C1E69}"/>
  <tableColumns count="7">
    <tableColumn id="1" xr3:uid="{2D363398-759D-40A3-B606-A09B05BC6C87}" name="ID" dataDxfId="10"/>
    <tableColumn id="2" xr3:uid="{9E7E2D8B-0999-418F-B525-FEB9B0C8B153}" name="DESCRIPCION" dataDxfId="9">
      <calculatedColumnFormula>IFERROR(_xlfn.XLOOKUP(LEFT(tb_lectura[[#This Row],[ID]],7),tb_Productos[ID PRODUCTO],tb_Productos[DESCRIPCION]),"")</calculatedColumnFormula>
    </tableColumn>
    <tableColumn id="3" xr3:uid="{B9355DA7-BEB1-4D2D-B96D-66AC69E51522}" name="PRECIO UNITARIO" dataDxfId="8">
      <calculatedColumnFormula>IFERROR(_xlfn.XLOOKUP(LEFT(tb_lectura[[#This Row],[ID]],7),tb_Productos[ID PRODUCTO],tb_Productos[precio unitario]),"")</calculatedColumnFormula>
    </tableColumn>
    <tableColumn id="4" xr3:uid="{33288F95-04CA-4AEA-93F6-AC7E30A691A9}" name="DESCUENTO % " dataDxfId="7">
      <calculatedColumnFormula>IFERROR(_xlfn.XLOOKUP(LEFT(tb_lectura[[#This Row],[ID]],7),tb_Productos[ID PRODUCTO],tb_Productos[Descuento]),"")</calculatedColumnFormula>
    </tableColumn>
    <tableColumn id="5" xr3:uid="{D2613E8A-9B3D-4CA8-BA43-6D2E8929ECCD}" name="MARCA" dataDxfId="6">
      <calculatedColumnFormula>IFERROR(_xlfn.XLOOKUP(LEFT(tb_lectura[[#This Row],[ID]],7),tb_Productos[ID PRODUCTO],tb_Productos[MARCA]),"")</calculatedColumnFormula>
    </tableColumn>
    <tableColumn id="6" xr3:uid="{C209BACF-EEFE-4665-9DB0-63E222B95A0B}" name="CONTENIDO" dataDxfId="5">
      <calculatedColumnFormula>_xlfn.CONCAT(_xlfn.VALUETOTEXT( IFERROR(_xlfn.XLOOKUP(LEFT(tb_lectura[[#This Row],[ID]],7),tb_Productos[ID PRODUCTO],tb_Productos[CANTIDAD UNIDADES]),""))," ",IFERROR(_xlfn.XLOOKUP(LEFT(tb_lectura[[#This Row],[ID]],7),tb_Productos[ID PRODUCTO],tb_Productos[UNIDAD]),""))</calculatedColumnFormula>
    </tableColumn>
    <tableColumn id="7" xr3:uid="{7006AFE8-E9B6-45FE-A173-87401194F5C3}" name="CANTIDAD" dataDxfId="4">
      <calculatedColumnFormula>1</calculatedColumnFormula>
    </tableColumn>
  </tableColumns>
  <tableStyleInfo name="Plastisol-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D1134F-5CB1-4AEB-B29E-A45099245FA7}" name="tb_Productos" displayName="tb_Productos" ref="A1:H298" tableType="queryTable" totalsRowShown="0">
  <autoFilter ref="A1:H298" xr:uid="{D6D1134F-5CB1-4AEB-B29E-A45099245FA7}"/>
  <tableColumns count="8">
    <tableColumn id="1" xr3:uid="{193659F7-0C41-4ACE-B4C9-306118A86558}" uniqueName="1" name="ID PRODUCTO" queryTableFieldId="1" dataDxfId="2"/>
    <tableColumn id="2" xr3:uid="{18D55D78-BD46-448F-9573-5CA985FD25FD}" uniqueName="2" name="DESCRIPCION" queryTableFieldId="2"/>
    <tableColumn id="3" xr3:uid="{00695E51-AE0E-4A88-9332-19B87AF9D843}" uniqueName="3" name="CATEGORIA" queryTableFieldId="3"/>
    <tableColumn id="4" xr3:uid="{30B5375A-581B-4E9C-A481-9BA7794C9A92}" uniqueName="4" name="MARCA" queryTableFieldId="4"/>
    <tableColumn id="5" xr3:uid="{90CB0112-E30F-4E68-B8A0-1B1D13DFDCD3}" uniqueName="5" name="UNIDAD" queryTableFieldId="5"/>
    <tableColumn id="6" xr3:uid="{2F1E45D5-44C6-4A31-9EF1-70D980A446A0}" uniqueName="6" name="CANTIDAD UNIDADES" queryTableFieldId="6"/>
    <tableColumn id="7" xr3:uid="{06B9D8CB-90A3-4599-B161-16B7AC6DA445}" uniqueName="7" name="precio unitario" queryTableFieldId="7"/>
    <tableColumn id="8" xr3:uid="{734AE238-E505-4FC3-9D08-3FD578D58268}" uniqueName="8" name="Descuento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97D049-B703-4F30-B965-15EE21DDC8C7}" name="tb_Clientes" displayName="tb_Clientes" ref="A1:G12" tableType="queryTable" totalsRowShown="0">
  <autoFilter ref="A1:G12" xr:uid="{4A97D049-B703-4F30-B965-15EE21DDC8C7}"/>
  <tableColumns count="7">
    <tableColumn id="1" xr3:uid="{E86944B4-63A2-4DCF-A8F8-101B839B3A79}" uniqueName="1" name="Tipo Documento" queryTableFieldId="1"/>
    <tableColumn id="2" xr3:uid="{B327C9A6-08D9-4014-B4B4-9EF0CC47AE9A}" uniqueName="2" name="Documento" queryTableFieldId="2"/>
    <tableColumn id="3" xr3:uid="{777390E1-B81B-485D-9852-45FC4D1EEAC4}" uniqueName="3" name="NOMBRE" queryTableFieldId="3"/>
    <tableColumn id="4" xr3:uid="{13BDE3DF-86EF-4213-BFA7-D81247A70586}" uniqueName="4" name="DIRECCION" queryTableFieldId="4"/>
    <tableColumn id="5" xr3:uid="{48CE0B3B-A42F-4B90-BCA0-A8504A66E989}" uniqueName="5" name="CIUDAD" queryTableFieldId="5"/>
    <tableColumn id="6" xr3:uid="{5AB90F5A-12A6-4D96-B224-DCAE8AC272EE}" uniqueName="6" name="TELEFONO" queryTableFieldId="6"/>
    <tableColumn id="7" xr3:uid="{06F94B89-C9D2-4941-8480-DB9D8A90CEC4}" uniqueName="7" name="EMAIL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879726C-D0CB-46DB-B5EE-9412EF9E2E4D}" name="tb_ventas" displayName="tb_ventas" ref="A1:L2" tableType="queryTable" totalsRowShown="0">
  <autoFilter ref="A1:L2" xr:uid="{1879726C-D0CB-46DB-B5EE-9412EF9E2E4D}"/>
  <tableColumns count="12">
    <tableColumn id="1" xr3:uid="{4F5F31ED-AE14-430B-8C22-EE23B2BCB48F}" uniqueName="1" name="FACTURA_ID" queryTableFieldId="1"/>
    <tableColumn id="2" xr3:uid="{1AF950AC-E436-48AD-BD61-42353CE99EE9}" uniqueName="2" name="FECHA" queryTableFieldId="2"/>
    <tableColumn id="3" xr3:uid="{49EC48A9-6AF8-4316-AEC7-1789B9647A1D}" uniqueName="3" name="HORA" queryTableFieldId="3"/>
    <tableColumn id="4" xr3:uid="{8296EA36-FDE2-444E-A235-5CD4C8A968DA}" uniqueName="4" name="ID CLIENTE" queryTableFieldId="4"/>
    <tableColumn id="5" xr3:uid="{9564B794-1C8B-44B8-8B56-5A0E20D91323}" uniqueName="5" name="NOMBRE" queryTableFieldId="5"/>
    <tableColumn id="6" xr3:uid="{E571DCC3-40E6-4D42-AF82-1A946935F8C9}" uniqueName="6" name="ID PRODUCTO" queryTableFieldId="6"/>
    <tableColumn id="7" xr3:uid="{85A86F2C-5DFC-4023-9732-26B16D3510F6}" uniqueName="7" name="DESCRIPCION" queryTableFieldId="7"/>
    <tableColumn id="8" xr3:uid="{F8AE46A1-0F8E-4E05-B871-29377237FC94}" uniqueName="8" name="UNIDADES" queryTableFieldId="8"/>
    <tableColumn id="9" xr3:uid="{568F6BF3-89B4-48CD-A41D-87DF1E66F331}" uniqueName="9" name="VALOR UNITARIO" queryTableFieldId="9"/>
    <tableColumn id="10" xr3:uid="{2E80CBF1-24B1-40F7-BF96-51A690DD077E}" uniqueName="10" name="DESCUENTO" queryTableFieldId="10"/>
    <tableColumn id="11" xr3:uid="{59F79401-CB21-4AEE-BA17-F95750AEFCCB}" uniqueName="11" name="IMPORTE" queryTableFieldId="11"/>
    <tableColumn id="12" xr3:uid="{CAB8238D-5A47-441C-BD28-0A7C1C76FA54}" uniqueName="12" name="FECHA REGISTRO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272"/>
  <sheetViews>
    <sheetView showGridLines="0" topLeftCell="A4" zoomScale="130" zoomScaleNormal="130" workbookViewId="0">
      <selection activeCell="C20" sqref="C20"/>
    </sheetView>
  </sheetViews>
  <sheetFormatPr defaultRowHeight="15" x14ac:dyDescent="0.25"/>
  <cols>
    <col min="1" max="1" width="4" customWidth="1"/>
    <col min="2" max="2" width="10.7109375" style="6" bestFit="1" customWidth="1"/>
    <col min="3" max="3" width="54.85546875" bestFit="1" customWidth="1"/>
    <col min="4" max="4" width="19.28515625" customWidth="1"/>
    <col min="5" max="5" width="18.5703125" customWidth="1"/>
    <col min="6" max="6" width="17.7109375" customWidth="1"/>
    <col min="7" max="7" width="17.140625" customWidth="1"/>
    <col min="8" max="8" width="10.28515625" hidden="1" customWidth="1"/>
  </cols>
  <sheetData>
    <row r="2" spans="1:10" ht="15" customHeight="1" x14ac:dyDescent="0.25">
      <c r="A2" s="73" t="s">
        <v>0</v>
      </c>
      <c r="B2" s="73"/>
      <c r="C2" s="73"/>
      <c r="D2" s="73"/>
      <c r="E2" s="73"/>
      <c r="F2" s="73"/>
      <c r="G2" s="73"/>
    </row>
    <row r="3" spans="1:10" ht="15" customHeight="1" x14ac:dyDescent="0.25">
      <c r="A3" s="73"/>
      <c r="B3" s="73"/>
      <c r="C3" s="73"/>
      <c r="D3" s="73"/>
      <c r="E3" s="73"/>
      <c r="F3" s="73"/>
      <c r="G3" s="73"/>
    </row>
    <row r="4" spans="1:10" ht="15" customHeight="1" x14ac:dyDescent="0.25">
      <c r="A4" s="73"/>
      <c r="B4" s="73"/>
      <c r="C4" s="73"/>
      <c r="D4" s="73"/>
      <c r="E4" s="73"/>
      <c r="F4" s="73"/>
      <c r="G4" s="73"/>
    </row>
    <row r="6" spans="1:10" ht="15" customHeight="1" x14ac:dyDescent="0.25">
      <c r="A6" s="1"/>
      <c r="B6" s="7"/>
      <c r="C6" s="1"/>
      <c r="D6" s="2"/>
      <c r="E6" s="2"/>
      <c r="F6" s="2"/>
      <c r="G6" s="2"/>
    </row>
    <row r="7" spans="1:10" ht="15" customHeight="1" x14ac:dyDescent="0.25">
      <c r="A7" s="1"/>
      <c r="B7" s="7"/>
      <c r="C7" s="1"/>
      <c r="D7" s="2"/>
      <c r="E7" s="2"/>
      <c r="F7" s="2"/>
      <c r="G7" s="2"/>
    </row>
    <row r="8" spans="1:10" ht="15" customHeight="1" x14ac:dyDescent="0.25">
      <c r="A8" s="1"/>
      <c r="B8" s="7"/>
      <c r="C8" s="1"/>
    </row>
    <row r="10" spans="1:10" ht="15.75" customHeight="1" x14ac:dyDescent="0.25">
      <c r="B10" s="8" t="s">
        <v>1</v>
      </c>
      <c r="C10" s="72" t="s">
        <v>676</v>
      </c>
      <c r="D10" s="72"/>
      <c r="E10" s="72"/>
      <c r="G10" s="74" t="s">
        <v>771</v>
      </c>
    </row>
    <row r="11" spans="1:10" ht="15.75" x14ac:dyDescent="0.25">
      <c r="B11" s="8" t="s">
        <v>2</v>
      </c>
      <c r="C11" s="71" t="str">
        <f>IFERROR(_xlfn.XLOOKUP(clienteID_creador,tb_Clientes[Documento],tb_Clientes[NOMBRE]),"")</f>
        <v>--</v>
      </c>
      <c r="D11" s="71"/>
      <c r="E11" s="71"/>
      <c r="G11" s="75"/>
    </row>
    <row r="12" spans="1:10" ht="15.75" x14ac:dyDescent="0.25">
      <c r="B12" s="8" t="s">
        <v>3</v>
      </c>
      <c r="C12" s="71" t="str">
        <f>IFERROR(IF(_xlfn.XLOOKUP(clienteID_creador,tb_Clientes[Documento],tb_Clientes[TELEFONO])=0,"",_xlfn.XLOOKUP(clienteID_creador,tb_Clientes[Documento],tb_Clientes[TELEFONO])),"")</f>
        <v>--</v>
      </c>
      <c r="D12" s="71"/>
      <c r="E12" s="71"/>
      <c r="G12" s="12">
        <v>300</v>
      </c>
      <c r="J12" s="14"/>
    </row>
    <row r="13" spans="1:10" ht="15.75" x14ac:dyDescent="0.25">
      <c r="B13" s="8" t="s">
        <v>4</v>
      </c>
      <c r="C13" s="71" t="str">
        <f>IFERROR(IF(_xlfn.XLOOKUP(clienteID_creador,tb_Clientes[Documento],tb_Clientes[DIRECCION])=0,"",_xlfn.XLOOKUP(clienteID_creador,tb_Clientes[Documento],tb_Clientes[DIRECCION])),"")</f>
        <v>--</v>
      </c>
      <c r="D13" s="71"/>
      <c r="E13" s="71"/>
    </row>
    <row r="14" spans="1:10" ht="15.75" x14ac:dyDescent="0.25">
      <c r="B14" s="8" t="s">
        <v>5</v>
      </c>
      <c r="C14" s="71" t="str">
        <f>IFERROR(IF(_xlfn.XLOOKUP(clienteID_creador,tb_Clientes[Documento],tb_Clientes[CIUDAD])=0,"",_xlfn.XLOOKUP(clienteID_creador,tb_Clientes[Documento],tb_Clientes[CIUDAD])),"")</f>
        <v>--</v>
      </c>
      <c r="D14" s="71"/>
      <c r="E14" s="71"/>
      <c r="G14" s="12" t="s">
        <v>709</v>
      </c>
    </row>
    <row r="15" spans="1:10" ht="15.75" x14ac:dyDescent="0.25">
      <c r="B15" s="8" t="s">
        <v>6</v>
      </c>
      <c r="C15" s="71" t="str">
        <f>IFERROR(IF(_xlfn.XLOOKUP(clienteID_creador,tb_Clientes[Documento],tb_Clientes[EMAIL])=0,"",_xlfn.XLOOKUP(clienteID_creador,tb_Clientes[Documento],tb_Clientes[EMAIL])),"")</f>
        <v>--</v>
      </c>
      <c r="D15" s="71"/>
      <c r="E15" s="71"/>
      <c r="G15" s="13">
        <f>SUM(tb_lectura[PRECIO UNITARIO])-G12</f>
        <v>95000</v>
      </c>
    </row>
    <row r="17" spans="2:8" ht="16.5" x14ac:dyDescent="0.3">
      <c r="B17" s="9" t="s">
        <v>13</v>
      </c>
      <c r="C17" s="3" t="s">
        <v>14</v>
      </c>
      <c r="D17" s="4" t="s">
        <v>710</v>
      </c>
      <c r="E17" s="4" t="s">
        <v>15</v>
      </c>
      <c r="F17" t="s">
        <v>353</v>
      </c>
      <c r="G17" t="s">
        <v>672</v>
      </c>
      <c r="H17" t="s">
        <v>727</v>
      </c>
    </row>
    <row r="18" spans="2:8" ht="16.5" x14ac:dyDescent="0.3">
      <c r="B18" s="11" t="s">
        <v>671</v>
      </c>
      <c r="C18" s="5" t="str">
        <f>IFERROR(_xlfn.XLOOKUP(LEFT(tb_lectura[[#This Row],[ID]],7),tb_Productos[ID PRODUCTO],tb_Productos[DESCRIPCION]),"")</f>
        <v xml:space="preserve">PARAFINADO ROJO ROLLO 100 METROS </v>
      </c>
      <c r="D18" s="15">
        <f>IFERROR(_xlfn.XLOOKUP(LEFT(tb_lectura[[#This Row],[ID]],7),tb_Productos[ID PRODUCTO],tb_Productos[precio unitario]),"")</f>
        <v>13000</v>
      </c>
      <c r="E18" s="5">
        <f>IFERROR(_xlfn.XLOOKUP(LEFT(tb_lectura[[#This Row],[ID]],7),tb_Productos[ID PRODUCTO],tb_Productos[Descuento]),"")</f>
        <v>0</v>
      </c>
      <c r="F18" s="5" t="str">
        <f>IFERROR(_xlfn.XLOOKUP(LEFT(tb_lectura[[#This Row],[ID]],7),tb_Productos[ID PRODUCTO],tb_Productos[MARCA]),"")</f>
        <v>No Aplica</v>
      </c>
      <c r="G1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>1 U</v>
      </c>
      <c r="H18" s="10">
        <f>1</f>
        <v>1</v>
      </c>
    </row>
    <row r="19" spans="2:8" ht="16.5" x14ac:dyDescent="0.3">
      <c r="B19" s="11" t="s">
        <v>671</v>
      </c>
      <c r="C19" s="5" t="str">
        <f>IFERROR(_xlfn.XLOOKUP(LEFT(tb_lectura[[#This Row],[ID]],7),tb_Productos[ID PRODUCTO],tb_Productos[DESCRIPCION]),"")</f>
        <v xml:space="preserve">PARAFINADO ROJO ROLLO 100 METROS </v>
      </c>
      <c r="D19" s="15">
        <f>IFERROR(_xlfn.XLOOKUP(LEFT(tb_lectura[[#This Row],[ID]],7),tb_Productos[ID PRODUCTO],tb_Productos[precio unitario]),"")</f>
        <v>13000</v>
      </c>
      <c r="E19" s="10">
        <f>IFERROR(_xlfn.XLOOKUP(LEFT(tb_lectura[[#This Row],[ID]],7),tb_Productos[ID PRODUCTO],tb_Productos[Descuento]),"")</f>
        <v>0</v>
      </c>
      <c r="F19" s="5" t="str">
        <f>IFERROR(_xlfn.XLOOKUP(LEFT(tb_lectura[[#This Row],[ID]],7),tb_Productos[ID PRODUCTO],tb_Productos[MARCA]),"")</f>
        <v>No Aplica</v>
      </c>
      <c r="G1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>1 U</v>
      </c>
      <c r="H19" s="10">
        <f>1</f>
        <v>1</v>
      </c>
    </row>
    <row r="20" spans="2:8" ht="16.5" x14ac:dyDescent="0.3">
      <c r="B20" s="11" t="s">
        <v>671</v>
      </c>
      <c r="C20" s="5" t="str">
        <f>IFERROR(_xlfn.XLOOKUP(LEFT(tb_lectura[[#This Row],[ID]],7),tb_Productos[ID PRODUCTO],tb_Productos[DESCRIPCION]),"")</f>
        <v xml:space="preserve">PARAFINADO ROJO ROLLO 100 METROS </v>
      </c>
      <c r="D20" s="15">
        <f>IFERROR(_xlfn.XLOOKUP(LEFT(tb_lectura[[#This Row],[ID]],7),tb_Productos[ID PRODUCTO],tb_Productos[precio unitario]),"")</f>
        <v>13000</v>
      </c>
      <c r="E20" s="10">
        <f>IFERROR(_xlfn.XLOOKUP(LEFT(tb_lectura[[#This Row],[ID]],7),tb_Productos[ID PRODUCTO],tb_Productos[Descuento]),"")</f>
        <v>0</v>
      </c>
      <c r="F20" s="5" t="str">
        <f>IFERROR(_xlfn.XLOOKUP(LEFT(tb_lectura[[#This Row],[ID]],7),tb_Productos[ID PRODUCTO],tb_Productos[MARCA]),"")</f>
        <v>No Aplica</v>
      </c>
      <c r="G2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>1 U</v>
      </c>
      <c r="H20" s="10">
        <f>1</f>
        <v>1</v>
      </c>
    </row>
    <row r="21" spans="2:8" ht="16.5" x14ac:dyDescent="0.3">
      <c r="B21" s="11" t="s">
        <v>355</v>
      </c>
      <c r="C21" s="5" t="str">
        <f>IFERROR(_xlfn.XLOOKUP(LEFT(tb_lectura[[#This Row],[ID]],7),tb_Productos[ID PRODUCTO],tb_Productos[DESCRIPCION]),"")</f>
        <v xml:space="preserve">PARAFINADO NEGRO ROLLO 100 METROS </v>
      </c>
      <c r="D21" s="15">
        <f>IFERROR(_xlfn.XLOOKUP(LEFT(tb_lectura[[#This Row],[ID]],7),tb_Productos[ID PRODUCTO],tb_Productos[precio unitario]),"")</f>
        <v>13000</v>
      </c>
      <c r="E21" s="10">
        <f>IFERROR(_xlfn.XLOOKUP(LEFT(tb_lectura[[#This Row],[ID]],7),tb_Productos[ID PRODUCTO],tb_Productos[Descuento]),"")</f>
        <v>0</v>
      </c>
      <c r="F21" s="5" t="str">
        <f>IFERROR(_xlfn.XLOOKUP(LEFT(tb_lectura[[#This Row],[ID]],7),tb_Productos[ID PRODUCTO],tb_Productos[MARCA]),"")</f>
        <v>No Aplica</v>
      </c>
      <c r="G2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21" s="10">
        <f>1</f>
        <v>1</v>
      </c>
    </row>
    <row r="22" spans="2:8" ht="16.5" x14ac:dyDescent="0.3">
      <c r="B22" s="11" t="s">
        <v>355</v>
      </c>
      <c r="C22" s="5" t="str">
        <f>IFERROR(_xlfn.XLOOKUP(LEFT(tb_lectura[[#This Row],[ID]],7),tb_Productos[ID PRODUCTO],tb_Productos[DESCRIPCION]),"")</f>
        <v xml:space="preserve">PARAFINADO NEGRO ROLLO 100 METROS </v>
      </c>
      <c r="D22" s="15">
        <f>IFERROR(_xlfn.XLOOKUP(LEFT(tb_lectura[[#This Row],[ID]],7),tb_Productos[ID PRODUCTO],tb_Productos[precio unitario]),"")</f>
        <v>13000</v>
      </c>
      <c r="E22" s="10">
        <f>IFERROR(_xlfn.XLOOKUP(LEFT(tb_lectura[[#This Row],[ID]],7),tb_Productos[ID PRODUCTO],tb_Productos[Descuento]),"")</f>
        <v>0</v>
      </c>
      <c r="F22" s="5" t="str">
        <f>IFERROR(_xlfn.XLOOKUP(LEFT(tb_lectura[[#This Row],[ID]],7),tb_Productos[ID PRODUCTO],tb_Productos[MARCA]),"")</f>
        <v>No Aplica</v>
      </c>
      <c r="G2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22" s="10">
        <f>1</f>
        <v>1</v>
      </c>
    </row>
    <row r="23" spans="2:8" ht="16.5" x14ac:dyDescent="0.3">
      <c r="B23" s="11" t="s">
        <v>356</v>
      </c>
      <c r="C23" s="5" t="str">
        <f>IFERROR(_xlfn.XLOOKUP(LEFT(tb_lectura[[#This Row],[ID]],7),tb_Productos[ID PRODUCTO],tb_Productos[DESCRIPCION]),"")</f>
        <v xml:space="preserve">PARAFINADO BLANCO ROLLO 100 METROS </v>
      </c>
      <c r="D23" s="15">
        <f>IFERROR(_xlfn.XLOOKUP(LEFT(tb_lectura[[#This Row],[ID]],7),tb_Productos[ID PRODUCTO],tb_Productos[precio unitario]),"")</f>
        <v>13000</v>
      </c>
      <c r="E23" s="10">
        <f>IFERROR(_xlfn.XLOOKUP(LEFT(tb_lectura[[#This Row],[ID]],7),tb_Productos[ID PRODUCTO],tb_Productos[Descuento]),"")</f>
        <v>0</v>
      </c>
      <c r="F23" s="5" t="str">
        <f>IFERROR(_xlfn.XLOOKUP(LEFT(tb_lectura[[#This Row],[ID]],7),tb_Productos[ID PRODUCTO],tb_Productos[MARCA]),"")</f>
        <v>No Aplica</v>
      </c>
      <c r="G2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23" s="10">
        <f>1</f>
        <v>1</v>
      </c>
    </row>
    <row r="24" spans="2:8" ht="16.5" x14ac:dyDescent="0.3">
      <c r="B24" s="11" t="s">
        <v>424</v>
      </c>
      <c r="C24" s="5" t="str">
        <f>IFERROR(_xlfn.XLOOKUP(LEFT(tb_lectura[[#This Row],[ID]],7),tb_Productos[ID PRODUCTO],tb_Productos[DESCRIPCION]),"")</f>
        <v>BOLSILLO ALUMINIO PIZZA P-20</v>
      </c>
      <c r="D24" s="15">
        <f>IFERROR(_xlfn.XLOOKUP(LEFT(tb_lectura[[#This Row],[ID]],7),tb_Productos[ID PRODUCTO],tb_Productos[precio unitario]),"")</f>
        <v>3500</v>
      </c>
      <c r="E24" s="10">
        <f>IFERROR(_xlfn.XLOOKUP(LEFT(tb_lectura[[#This Row],[ID]],7),tb_Productos[ID PRODUCTO],tb_Productos[Descuento]),"")</f>
        <v>0</v>
      </c>
      <c r="F24" s="5" t="str">
        <f>IFERROR(_xlfn.XLOOKUP(LEFT(tb_lectura[[#This Row],[ID]],7),tb_Productos[ID PRODUCTO],tb_Productos[MARCA]),"")</f>
        <v>No Aplica</v>
      </c>
      <c r="G2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24" s="10">
        <f>1</f>
        <v>1</v>
      </c>
    </row>
    <row r="25" spans="2:8" ht="16.5" x14ac:dyDescent="0.3">
      <c r="B25" s="11" t="s">
        <v>412</v>
      </c>
      <c r="C25" s="5" t="str">
        <f>IFERROR(_xlfn.XLOOKUP(LEFT(tb_lectura[[#This Row],[ID]],7),tb_Productos[ID PRODUCTO],tb_Productos[DESCRIPCION]),"")</f>
        <v>PALILLO PEQUENIO</v>
      </c>
      <c r="D25" s="15">
        <f>IFERROR(_xlfn.XLOOKUP(LEFT(tb_lectura[[#This Row],[ID]],7),tb_Productos[ID PRODUCTO],tb_Productos[precio unitario]),"")</f>
        <v>800</v>
      </c>
      <c r="E25" s="10">
        <f>IFERROR(_xlfn.XLOOKUP(LEFT(tb_lectura[[#This Row],[ID]],7),tb_Productos[ID PRODUCTO],tb_Productos[Descuento]),"")</f>
        <v>0</v>
      </c>
      <c r="F25" s="5" t="str">
        <f>IFERROR(_xlfn.XLOOKUP(LEFT(tb_lectura[[#This Row],[ID]],7),tb_Productos[ID PRODUCTO],tb_Productos[MARCA]),"")</f>
        <v>No Aplica</v>
      </c>
      <c r="G2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25" s="10">
        <f>1</f>
        <v>1</v>
      </c>
    </row>
    <row r="26" spans="2:8" ht="16.5" x14ac:dyDescent="0.3">
      <c r="B26" s="11" t="s">
        <v>356</v>
      </c>
      <c r="C26" s="5" t="str">
        <f>IFERROR(_xlfn.XLOOKUP(LEFT(tb_lectura[[#This Row],[ID]],7),tb_Productos[ID PRODUCTO],tb_Productos[DESCRIPCION]),"")</f>
        <v xml:space="preserve">PARAFINADO BLANCO ROLLO 100 METROS </v>
      </c>
      <c r="D26" s="15">
        <f>IFERROR(_xlfn.XLOOKUP(LEFT(tb_lectura[[#This Row],[ID]],7),tb_Productos[ID PRODUCTO],tb_Productos[precio unitario]),"")</f>
        <v>13000</v>
      </c>
      <c r="E26" s="10">
        <f>IFERROR(_xlfn.XLOOKUP(LEFT(tb_lectura[[#This Row],[ID]],7),tb_Productos[ID PRODUCTO],tb_Productos[Descuento]),"")</f>
        <v>0</v>
      </c>
      <c r="F26" s="5" t="str">
        <f>IFERROR(_xlfn.XLOOKUP(LEFT(tb_lectura[[#This Row],[ID]],7),tb_Productos[ID PRODUCTO],tb_Productos[MARCA]),"")</f>
        <v>No Aplica</v>
      </c>
      <c r="G2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26" s="10">
        <f>1</f>
        <v>1</v>
      </c>
    </row>
    <row r="27" spans="2:8" ht="16.5" x14ac:dyDescent="0.3">
      <c r="B27" s="11"/>
      <c r="C27" s="5" t="str">
        <f>IFERROR(_xlfn.XLOOKUP(LEFT(tb_lectura[[#This Row],[ID]],7),tb_Productos[ID PRODUCTO],tb_Productos[DESCRIPCION]),"")</f>
        <v/>
      </c>
      <c r="D27" s="15" t="str">
        <f>IFERROR(_xlfn.XLOOKUP(LEFT(tb_lectura[[#This Row],[ID]],7),tb_Productos[ID PRODUCTO],tb_Productos[precio unitario]),"")</f>
        <v/>
      </c>
      <c r="E27" s="10" t="str">
        <f>IFERROR(_xlfn.XLOOKUP(LEFT(tb_lectura[[#This Row],[ID]],7),tb_Productos[ID PRODUCTO],tb_Productos[Descuento]),"")</f>
        <v/>
      </c>
      <c r="F27" s="5" t="str">
        <f>IFERROR(_xlfn.XLOOKUP(LEFT(tb_lectura[[#This Row],[ID]],7),tb_Productos[ID PRODUCTO],tb_Productos[MARCA]),"")</f>
        <v/>
      </c>
      <c r="G2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7" s="10">
        <f>1</f>
        <v>1</v>
      </c>
    </row>
    <row r="28" spans="2:8" ht="16.5" x14ac:dyDescent="0.3">
      <c r="B28" s="11"/>
      <c r="C28" s="5" t="str">
        <f>IFERROR(_xlfn.XLOOKUP(LEFT(tb_lectura[[#This Row],[ID]],7),tb_Productos[ID PRODUCTO],tb_Productos[DESCRIPCION]),"")</f>
        <v/>
      </c>
      <c r="D28" s="15" t="str">
        <f>IFERROR(_xlfn.XLOOKUP(LEFT(tb_lectura[[#This Row],[ID]],7),tb_Productos[ID PRODUCTO],tb_Productos[precio unitario]),"")</f>
        <v/>
      </c>
      <c r="E28" s="10" t="str">
        <f>IFERROR(_xlfn.XLOOKUP(LEFT(tb_lectura[[#This Row],[ID]],7),tb_Productos[ID PRODUCTO],tb_Productos[Descuento]),"")</f>
        <v/>
      </c>
      <c r="F28" s="5" t="str">
        <f>IFERROR(_xlfn.XLOOKUP(LEFT(tb_lectura[[#This Row],[ID]],7),tb_Productos[ID PRODUCTO],tb_Productos[MARCA]),"")</f>
        <v/>
      </c>
      <c r="G2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8" s="10">
        <f>1</f>
        <v>1</v>
      </c>
    </row>
    <row r="29" spans="2:8" ht="16.5" x14ac:dyDescent="0.3">
      <c r="B29" s="11"/>
      <c r="C29" s="5" t="str">
        <f>IFERROR(_xlfn.XLOOKUP(LEFT(tb_lectura[[#This Row],[ID]],7),tb_Productos[ID PRODUCTO],tb_Productos[DESCRIPCION]),"")</f>
        <v/>
      </c>
      <c r="D29" s="15" t="str">
        <f>IFERROR(_xlfn.XLOOKUP(LEFT(tb_lectura[[#This Row],[ID]],7),tb_Productos[ID PRODUCTO],tb_Productos[precio unitario]),"")</f>
        <v/>
      </c>
      <c r="E29" s="10" t="str">
        <f>IFERROR(_xlfn.XLOOKUP(LEFT(tb_lectura[[#This Row],[ID]],7),tb_Productos[ID PRODUCTO],tb_Productos[Descuento]),"")</f>
        <v/>
      </c>
      <c r="F29" s="5" t="str">
        <f>IFERROR(_xlfn.XLOOKUP(LEFT(tb_lectura[[#This Row],[ID]],7),tb_Productos[ID PRODUCTO],tb_Productos[MARCA]),"")</f>
        <v/>
      </c>
      <c r="G2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9" s="10">
        <f>1</f>
        <v>1</v>
      </c>
    </row>
    <row r="30" spans="2:8" ht="16.5" x14ac:dyDescent="0.3">
      <c r="B30" s="11"/>
      <c r="C30" s="5" t="str">
        <f>IFERROR(_xlfn.XLOOKUP(LEFT(tb_lectura[[#This Row],[ID]],7),tb_Productos[ID PRODUCTO],tb_Productos[DESCRIPCION]),"")</f>
        <v/>
      </c>
      <c r="D30" s="15" t="str">
        <f>IFERROR(_xlfn.XLOOKUP(LEFT(tb_lectura[[#This Row],[ID]],7),tb_Productos[ID PRODUCTO],tb_Productos[precio unitario]),"")</f>
        <v/>
      </c>
      <c r="E30" s="10" t="str">
        <f>IFERROR(_xlfn.XLOOKUP(LEFT(tb_lectura[[#This Row],[ID]],7),tb_Productos[ID PRODUCTO],tb_Productos[Descuento]),"")</f>
        <v/>
      </c>
      <c r="F30" s="5" t="str">
        <f>IFERROR(_xlfn.XLOOKUP(LEFT(tb_lectura[[#This Row],[ID]],7),tb_Productos[ID PRODUCTO],tb_Productos[MARCA]),"")</f>
        <v/>
      </c>
      <c r="G3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0" s="10">
        <f>1</f>
        <v>1</v>
      </c>
    </row>
    <row r="31" spans="2:8" ht="16.5" x14ac:dyDescent="0.3">
      <c r="B31" s="11"/>
      <c r="C31" s="5" t="str">
        <f>IFERROR(_xlfn.XLOOKUP(LEFT(tb_lectura[[#This Row],[ID]],7),tb_Productos[ID PRODUCTO],tb_Productos[DESCRIPCION]),"")</f>
        <v/>
      </c>
      <c r="D31" s="15" t="str">
        <f>IFERROR(_xlfn.XLOOKUP(LEFT(tb_lectura[[#This Row],[ID]],7),tb_Productos[ID PRODUCTO],tb_Productos[precio unitario]),"")</f>
        <v/>
      </c>
      <c r="E31" s="10" t="str">
        <f>IFERROR(_xlfn.XLOOKUP(LEFT(tb_lectura[[#This Row],[ID]],7),tb_Productos[ID PRODUCTO],tb_Productos[Descuento]),"")</f>
        <v/>
      </c>
      <c r="F31" s="5" t="str">
        <f>IFERROR(_xlfn.XLOOKUP(LEFT(tb_lectura[[#This Row],[ID]],7),tb_Productos[ID PRODUCTO],tb_Productos[MARCA]),"")</f>
        <v/>
      </c>
      <c r="G3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1" s="10">
        <f>1</f>
        <v>1</v>
      </c>
    </row>
    <row r="32" spans="2:8" ht="16.5" x14ac:dyDescent="0.3">
      <c r="B32" s="11"/>
      <c r="C32" s="5" t="str">
        <f>IFERROR(_xlfn.XLOOKUP(LEFT(tb_lectura[[#This Row],[ID]],7),tb_Productos[ID PRODUCTO],tb_Productos[DESCRIPCION]),"")</f>
        <v/>
      </c>
      <c r="D32" s="15" t="str">
        <f>IFERROR(_xlfn.XLOOKUP(LEFT(tb_lectura[[#This Row],[ID]],7),tb_Productos[ID PRODUCTO],tb_Productos[precio unitario]),"")</f>
        <v/>
      </c>
      <c r="E32" s="10" t="str">
        <f>IFERROR(_xlfn.XLOOKUP(LEFT(tb_lectura[[#This Row],[ID]],7),tb_Productos[ID PRODUCTO],tb_Productos[Descuento]),"")</f>
        <v/>
      </c>
      <c r="F32" s="5" t="str">
        <f>IFERROR(_xlfn.XLOOKUP(LEFT(tb_lectura[[#This Row],[ID]],7),tb_Productos[ID PRODUCTO],tb_Productos[MARCA]),"")</f>
        <v/>
      </c>
      <c r="G3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2" s="10">
        <f>1</f>
        <v>1</v>
      </c>
    </row>
    <row r="33" spans="2:8" ht="16.5" x14ac:dyDescent="0.3">
      <c r="B33" s="11"/>
      <c r="C33" s="5" t="str">
        <f>IFERROR(_xlfn.XLOOKUP(LEFT(tb_lectura[[#This Row],[ID]],7),tb_Productos[ID PRODUCTO],tb_Productos[DESCRIPCION]),"")</f>
        <v/>
      </c>
      <c r="D33" s="15" t="str">
        <f>IFERROR(_xlfn.XLOOKUP(LEFT(tb_lectura[[#This Row],[ID]],7),tb_Productos[ID PRODUCTO],tb_Productos[precio unitario]),"")</f>
        <v/>
      </c>
      <c r="E33" s="10" t="str">
        <f>IFERROR(_xlfn.XLOOKUP(LEFT(tb_lectura[[#This Row],[ID]],7),tb_Productos[ID PRODUCTO],tb_Productos[Descuento]),"")</f>
        <v/>
      </c>
      <c r="F33" s="5" t="str">
        <f>IFERROR(_xlfn.XLOOKUP(LEFT(tb_lectura[[#This Row],[ID]],7),tb_Productos[ID PRODUCTO],tb_Productos[MARCA]),"")</f>
        <v/>
      </c>
      <c r="G3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3" s="10">
        <f>1</f>
        <v>1</v>
      </c>
    </row>
    <row r="34" spans="2:8" ht="16.5" x14ac:dyDescent="0.3">
      <c r="B34" s="11"/>
      <c r="C34" s="5" t="str">
        <f>IFERROR(_xlfn.XLOOKUP(LEFT(tb_lectura[[#This Row],[ID]],7),tb_Productos[ID PRODUCTO],tb_Productos[DESCRIPCION]),"")</f>
        <v/>
      </c>
      <c r="D34" s="15" t="str">
        <f>IFERROR(_xlfn.XLOOKUP(LEFT(tb_lectura[[#This Row],[ID]],7),tb_Productos[ID PRODUCTO],tb_Productos[precio unitario]),"")</f>
        <v/>
      </c>
      <c r="E34" s="10" t="str">
        <f>IFERROR(_xlfn.XLOOKUP(LEFT(tb_lectura[[#This Row],[ID]],7),tb_Productos[ID PRODUCTO],tb_Productos[Descuento]),"")</f>
        <v/>
      </c>
      <c r="F34" s="5" t="str">
        <f>IFERROR(_xlfn.XLOOKUP(LEFT(tb_lectura[[#This Row],[ID]],7),tb_Productos[ID PRODUCTO],tb_Productos[MARCA]),"")</f>
        <v/>
      </c>
      <c r="G3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4" s="10">
        <f>1</f>
        <v>1</v>
      </c>
    </row>
    <row r="35" spans="2:8" ht="16.5" x14ac:dyDescent="0.3">
      <c r="B35" s="11"/>
      <c r="C35" s="5" t="str">
        <f>IFERROR(_xlfn.XLOOKUP(LEFT(tb_lectura[[#This Row],[ID]],7),tb_Productos[ID PRODUCTO],tb_Productos[DESCRIPCION]),"")</f>
        <v/>
      </c>
      <c r="D35" s="15" t="str">
        <f>IFERROR(_xlfn.XLOOKUP(LEFT(tb_lectura[[#This Row],[ID]],7),tb_Productos[ID PRODUCTO],tb_Productos[precio unitario]),"")</f>
        <v/>
      </c>
      <c r="E35" s="10" t="str">
        <f>IFERROR(_xlfn.XLOOKUP(LEFT(tb_lectura[[#This Row],[ID]],7),tb_Productos[ID PRODUCTO],tb_Productos[Descuento]),"")</f>
        <v/>
      </c>
      <c r="F35" s="5" t="str">
        <f>IFERROR(_xlfn.XLOOKUP(LEFT(tb_lectura[[#This Row],[ID]],7),tb_Productos[ID PRODUCTO],tb_Productos[MARCA]),"")</f>
        <v/>
      </c>
      <c r="G3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5" s="10">
        <f>1</f>
        <v>1</v>
      </c>
    </row>
    <row r="36" spans="2:8" ht="16.5" x14ac:dyDescent="0.3">
      <c r="B36" s="11"/>
      <c r="C36" s="5" t="str">
        <f>IFERROR(_xlfn.XLOOKUP(LEFT(tb_lectura[[#This Row],[ID]],7),tb_Productos[ID PRODUCTO],tb_Productos[DESCRIPCION]),"")</f>
        <v/>
      </c>
      <c r="D36" s="15" t="str">
        <f>IFERROR(_xlfn.XLOOKUP(LEFT(tb_lectura[[#This Row],[ID]],7),tb_Productos[ID PRODUCTO],tb_Productos[precio unitario]),"")</f>
        <v/>
      </c>
      <c r="E36" s="10" t="str">
        <f>IFERROR(_xlfn.XLOOKUP(LEFT(tb_lectura[[#This Row],[ID]],7),tb_Productos[ID PRODUCTO],tb_Productos[Descuento]),"")</f>
        <v/>
      </c>
      <c r="F36" s="5" t="str">
        <f>IFERROR(_xlfn.XLOOKUP(LEFT(tb_lectura[[#This Row],[ID]],7),tb_Productos[ID PRODUCTO],tb_Productos[MARCA]),"")</f>
        <v/>
      </c>
      <c r="G3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6" s="10">
        <f>1</f>
        <v>1</v>
      </c>
    </row>
    <row r="37" spans="2:8" ht="16.5" x14ac:dyDescent="0.3">
      <c r="B37" s="11"/>
      <c r="C37" s="5" t="str">
        <f>IFERROR(_xlfn.XLOOKUP(LEFT(tb_lectura[[#This Row],[ID]],7),tb_Productos[ID PRODUCTO],tb_Productos[DESCRIPCION]),"")</f>
        <v/>
      </c>
      <c r="D37" s="15" t="str">
        <f>IFERROR(_xlfn.XLOOKUP(LEFT(tb_lectura[[#This Row],[ID]],7),tb_Productos[ID PRODUCTO],tb_Productos[precio unitario]),"")</f>
        <v/>
      </c>
      <c r="E37" s="10" t="str">
        <f>IFERROR(_xlfn.XLOOKUP(LEFT(tb_lectura[[#This Row],[ID]],7),tb_Productos[ID PRODUCTO],tb_Productos[Descuento]),"")</f>
        <v/>
      </c>
      <c r="F37" s="5" t="str">
        <f>IFERROR(_xlfn.XLOOKUP(LEFT(tb_lectura[[#This Row],[ID]],7),tb_Productos[ID PRODUCTO],tb_Productos[MARCA]),"")</f>
        <v/>
      </c>
      <c r="G3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7" s="10">
        <f>1</f>
        <v>1</v>
      </c>
    </row>
    <row r="38" spans="2:8" ht="16.5" x14ac:dyDescent="0.3">
      <c r="B38" s="11"/>
      <c r="C38" s="5" t="str">
        <f>IFERROR(_xlfn.XLOOKUP(LEFT(tb_lectura[[#This Row],[ID]],7),tb_Productos[ID PRODUCTO],tb_Productos[DESCRIPCION]),"")</f>
        <v/>
      </c>
      <c r="D38" s="15" t="str">
        <f>IFERROR(_xlfn.XLOOKUP(LEFT(tb_lectura[[#This Row],[ID]],7),tb_Productos[ID PRODUCTO],tb_Productos[precio unitario]),"")</f>
        <v/>
      </c>
      <c r="E38" s="10" t="str">
        <f>IFERROR(_xlfn.XLOOKUP(LEFT(tb_lectura[[#This Row],[ID]],7),tb_Productos[ID PRODUCTO],tb_Productos[Descuento]),"")</f>
        <v/>
      </c>
      <c r="F38" s="5" t="str">
        <f>IFERROR(_xlfn.XLOOKUP(LEFT(tb_lectura[[#This Row],[ID]],7),tb_Productos[ID PRODUCTO],tb_Productos[MARCA]),"")</f>
        <v/>
      </c>
      <c r="G3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8" s="10">
        <f>1</f>
        <v>1</v>
      </c>
    </row>
    <row r="39" spans="2:8" ht="16.5" x14ac:dyDescent="0.3">
      <c r="B39" s="11"/>
      <c r="C39" s="5" t="str">
        <f>IFERROR(_xlfn.XLOOKUP(LEFT(tb_lectura[[#This Row],[ID]],7),tb_Productos[ID PRODUCTO],tb_Productos[DESCRIPCION]),"")</f>
        <v/>
      </c>
      <c r="D39" s="15" t="str">
        <f>IFERROR(_xlfn.XLOOKUP(LEFT(tb_lectura[[#This Row],[ID]],7),tb_Productos[ID PRODUCTO],tb_Productos[precio unitario]),"")</f>
        <v/>
      </c>
      <c r="E39" s="10" t="str">
        <f>IFERROR(_xlfn.XLOOKUP(LEFT(tb_lectura[[#This Row],[ID]],7),tb_Productos[ID PRODUCTO],tb_Productos[Descuento]),"")</f>
        <v/>
      </c>
      <c r="F39" s="5" t="str">
        <f>IFERROR(_xlfn.XLOOKUP(LEFT(tb_lectura[[#This Row],[ID]],7),tb_Productos[ID PRODUCTO],tb_Productos[MARCA]),"")</f>
        <v/>
      </c>
      <c r="G3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9" s="10">
        <f>1</f>
        <v>1</v>
      </c>
    </row>
    <row r="40" spans="2:8" ht="16.5" x14ac:dyDescent="0.3">
      <c r="B40" s="11"/>
      <c r="C40" s="5" t="str">
        <f>IFERROR(_xlfn.XLOOKUP(LEFT(tb_lectura[[#This Row],[ID]],7),tb_Productos[ID PRODUCTO],tb_Productos[DESCRIPCION]),"")</f>
        <v/>
      </c>
      <c r="D40" s="15" t="str">
        <f>IFERROR(_xlfn.XLOOKUP(LEFT(tb_lectura[[#This Row],[ID]],7),tb_Productos[ID PRODUCTO],tb_Productos[precio unitario]),"")</f>
        <v/>
      </c>
      <c r="E40" s="10" t="str">
        <f>IFERROR(_xlfn.XLOOKUP(LEFT(tb_lectura[[#This Row],[ID]],7),tb_Productos[ID PRODUCTO],tb_Productos[Descuento]),"")</f>
        <v/>
      </c>
      <c r="F40" s="5" t="str">
        <f>IFERROR(_xlfn.XLOOKUP(LEFT(tb_lectura[[#This Row],[ID]],7),tb_Productos[ID PRODUCTO],tb_Productos[MARCA]),"")</f>
        <v/>
      </c>
      <c r="G4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0" s="10">
        <f>1</f>
        <v>1</v>
      </c>
    </row>
    <row r="41" spans="2:8" ht="16.5" x14ac:dyDescent="0.3">
      <c r="B41" s="11"/>
      <c r="C41" s="5" t="str">
        <f>IFERROR(_xlfn.XLOOKUP(LEFT(tb_lectura[[#This Row],[ID]],7),tb_Productos[ID PRODUCTO],tb_Productos[DESCRIPCION]),"")</f>
        <v/>
      </c>
      <c r="D41" s="15" t="str">
        <f>IFERROR(_xlfn.XLOOKUP(LEFT(tb_lectura[[#This Row],[ID]],7),tb_Productos[ID PRODUCTO],tb_Productos[precio unitario]),"")</f>
        <v/>
      </c>
      <c r="E41" s="10" t="str">
        <f>IFERROR(_xlfn.XLOOKUP(LEFT(tb_lectura[[#This Row],[ID]],7),tb_Productos[ID PRODUCTO],tb_Productos[Descuento]),"")</f>
        <v/>
      </c>
      <c r="F41" s="5" t="str">
        <f>IFERROR(_xlfn.XLOOKUP(LEFT(tb_lectura[[#This Row],[ID]],7),tb_Productos[ID PRODUCTO],tb_Productos[MARCA]),"")</f>
        <v/>
      </c>
      <c r="G4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1" s="10">
        <f>1</f>
        <v>1</v>
      </c>
    </row>
    <row r="42" spans="2:8" ht="16.5" x14ac:dyDescent="0.3">
      <c r="B42" s="11"/>
      <c r="C42" s="5" t="str">
        <f>IFERROR(_xlfn.XLOOKUP(LEFT(tb_lectura[[#This Row],[ID]],7),tb_Productos[ID PRODUCTO],tb_Productos[DESCRIPCION]),"")</f>
        <v/>
      </c>
      <c r="D42" s="15" t="str">
        <f>IFERROR(_xlfn.XLOOKUP(LEFT(tb_lectura[[#This Row],[ID]],7),tb_Productos[ID PRODUCTO],tb_Productos[precio unitario]),"")</f>
        <v/>
      </c>
      <c r="E42" s="10" t="str">
        <f>IFERROR(_xlfn.XLOOKUP(LEFT(tb_lectura[[#This Row],[ID]],7),tb_Productos[ID PRODUCTO],tb_Productos[Descuento]),"")</f>
        <v/>
      </c>
      <c r="F42" s="5" t="str">
        <f>IFERROR(_xlfn.XLOOKUP(LEFT(tb_lectura[[#This Row],[ID]],7),tb_Productos[ID PRODUCTO],tb_Productos[MARCA]),"")</f>
        <v/>
      </c>
      <c r="G4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2" s="10">
        <f>1</f>
        <v>1</v>
      </c>
    </row>
    <row r="43" spans="2:8" ht="16.5" x14ac:dyDescent="0.3">
      <c r="B43" s="11"/>
      <c r="C43" s="5" t="str">
        <f>IFERROR(_xlfn.XLOOKUP(LEFT(tb_lectura[[#This Row],[ID]],7),tb_Productos[ID PRODUCTO],tb_Productos[DESCRIPCION]),"")</f>
        <v/>
      </c>
      <c r="D43" s="15" t="str">
        <f>IFERROR(_xlfn.XLOOKUP(LEFT(tb_lectura[[#This Row],[ID]],7),tb_Productos[ID PRODUCTO],tb_Productos[precio unitario]),"")</f>
        <v/>
      </c>
      <c r="E43" s="10" t="str">
        <f>IFERROR(_xlfn.XLOOKUP(LEFT(tb_lectura[[#This Row],[ID]],7),tb_Productos[ID PRODUCTO],tb_Productos[Descuento]),"")</f>
        <v/>
      </c>
      <c r="F43" s="5" t="str">
        <f>IFERROR(_xlfn.XLOOKUP(LEFT(tb_lectura[[#This Row],[ID]],7),tb_Productos[ID PRODUCTO],tb_Productos[MARCA]),"")</f>
        <v/>
      </c>
      <c r="G4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3" s="10">
        <f>1</f>
        <v>1</v>
      </c>
    </row>
    <row r="44" spans="2:8" ht="16.5" x14ac:dyDescent="0.3">
      <c r="B44" s="11"/>
      <c r="C44" s="5" t="str">
        <f>IFERROR(_xlfn.XLOOKUP(LEFT(tb_lectura[[#This Row],[ID]],7),tb_Productos[ID PRODUCTO],tb_Productos[DESCRIPCION]),"")</f>
        <v/>
      </c>
      <c r="D44" s="15" t="str">
        <f>IFERROR(_xlfn.XLOOKUP(LEFT(tb_lectura[[#This Row],[ID]],7),tb_Productos[ID PRODUCTO],tb_Productos[precio unitario]),"")</f>
        <v/>
      </c>
      <c r="E44" s="10" t="str">
        <f>IFERROR(_xlfn.XLOOKUP(LEFT(tb_lectura[[#This Row],[ID]],7),tb_Productos[ID PRODUCTO],tb_Productos[Descuento]),"")</f>
        <v/>
      </c>
      <c r="F44" s="5" t="str">
        <f>IFERROR(_xlfn.XLOOKUP(LEFT(tb_lectura[[#This Row],[ID]],7),tb_Productos[ID PRODUCTO],tb_Productos[MARCA]),"")</f>
        <v/>
      </c>
      <c r="G4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4" s="10">
        <f>1</f>
        <v>1</v>
      </c>
    </row>
    <row r="45" spans="2:8" ht="16.5" x14ac:dyDescent="0.3">
      <c r="B45" s="11"/>
      <c r="C45" s="5" t="str">
        <f>IFERROR(_xlfn.XLOOKUP(LEFT(tb_lectura[[#This Row],[ID]],7),tb_Productos[ID PRODUCTO],tb_Productos[DESCRIPCION]),"")</f>
        <v/>
      </c>
      <c r="D45" s="15" t="str">
        <f>IFERROR(_xlfn.XLOOKUP(LEFT(tb_lectura[[#This Row],[ID]],7),tb_Productos[ID PRODUCTO],tb_Productos[precio unitario]),"")</f>
        <v/>
      </c>
      <c r="E45" s="10" t="str">
        <f>IFERROR(_xlfn.XLOOKUP(LEFT(tb_lectura[[#This Row],[ID]],7),tb_Productos[ID PRODUCTO],tb_Productos[Descuento]),"")</f>
        <v/>
      </c>
      <c r="F45" s="5" t="str">
        <f>IFERROR(_xlfn.XLOOKUP(LEFT(tb_lectura[[#This Row],[ID]],7),tb_Productos[ID PRODUCTO],tb_Productos[MARCA]),"")</f>
        <v/>
      </c>
      <c r="G4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5" s="10">
        <f>1</f>
        <v>1</v>
      </c>
    </row>
    <row r="46" spans="2:8" ht="16.5" x14ac:dyDescent="0.3">
      <c r="B46" s="11"/>
      <c r="C46" s="5" t="str">
        <f>IFERROR(_xlfn.XLOOKUP(LEFT(tb_lectura[[#This Row],[ID]],7),tb_Productos[ID PRODUCTO],tb_Productos[DESCRIPCION]),"")</f>
        <v/>
      </c>
      <c r="D46" s="15" t="str">
        <f>IFERROR(_xlfn.XLOOKUP(LEFT(tb_lectura[[#This Row],[ID]],7),tb_Productos[ID PRODUCTO],tb_Productos[precio unitario]),"")</f>
        <v/>
      </c>
      <c r="E46" s="10" t="str">
        <f>IFERROR(_xlfn.XLOOKUP(LEFT(tb_lectura[[#This Row],[ID]],7),tb_Productos[ID PRODUCTO],tb_Productos[Descuento]),"")</f>
        <v/>
      </c>
      <c r="F46" s="5" t="str">
        <f>IFERROR(_xlfn.XLOOKUP(LEFT(tb_lectura[[#This Row],[ID]],7),tb_Productos[ID PRODUCTO],tb_Productos[MARCA]),"")</f>
        <v/>
      </c>
      <c r="G4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6" s="10">
        <f>1</f>
        <v>1</v>
      </c>
    </row>
    <row r="47" spans="2:8" ht="16.5" x14ac:dyDescent="0.3">
      <c r="B47" s="11"/>
      <c r="C47" s="5" t="str">
        <f>IFERROR(_xlfn.XLOOKUP(LEFT(tb_lectura[[#This Row],[ID]],7),tb_Productos[ID PRODUCTO],tb_Productos[DESCRIPCION]),"")</f>
        <v/>
      </c>
      <c r="D47" s="15" t="str">
        <f>IFERROR(_xlfn.XLOOKUP(LEFT(tb_lectura[[#This Row],[ID]],7),tb_Productos[ID PRODUCTO],tb_Productos[precio unitario]),"")</f>
        <v/>
      </c>
      <c r="E47" s="10" t="str">
        <f>IFERROR(_xlfn.XLOOKUP(LEFT(tb_lectura[[#This Row],[ID]],7),tb_Productos[ID PRODUCTO],tb_Productos[Descuento]),"")</f>
        <v/>
      </c>
      <c r="F47" s="5" t="str">
        <f>IFERROR(_xlfn.XLOOKUP(LEFT(tb_lectura[[#This Row],[ID]],7),tb_Productos[ID PRODUCTO],tb_Productos[MARCA]),"")</f>
        <v/>
      </c>
      <c r="G4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7" s="10">
        <f>1</f>
        <v>1</v>
      </c>
    </row>
    <row r="48" spans="2:8" ht="16.5" x14ac:dyDescent="0.3">
      <c r="B48" s="11"/>
      <c r="C48" s="5" t="str">
        <f>IFERROR(_xlfn.XLOOKUP(LEFT(tb_lectura[[#This Row],[ID]],7),tb_Productos[ID PRODUCTO],tb_Productos[DESCRIPCION]),"")</f>
        <v/>
      </c>
      <c r="D48" s="15" t="str">
        <f>IFERROR(_xlfn.XLOOKUP(LEFT(tb_lectura[[#This Row],[ID]],7),tb_Productos[ID PRODUCTO],tb_Productos[precio unitario]),"")</f>
        <v/>
      </c>
      <c r="E48" s="10" t="str">
        <f>IFERROR(_xlfn.XLOOKUP(LEFT(tb_lectura[[#This Row],[ID]],7),tb_Productos[ID PRODUCTO],tb_Productos[Descuento]),"")</f>
        <v/>
      </c>
      <c r="F48" s="5" t="str">
        <f>IFERROR(_xlfn.XLOOKUP(LEFT(tb_lectura[[#This Row],[ID]],7),tb_Productos[ID PRODUCTO],tb_Productos[MARCA]),"")</f>
        <v/>
      </c>
      <c r="G4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8" s="10">
        <f>1</f>
        <v>1</v>
      </c>
    </row>
    <row r="49" spans="2:8" ht="16.5" x14ac:dyDescent="0.3">
      <c r="B49" s="11"/>
      <c r="C49" s="5" t="str">
        <f>IFERROR(_xlfn.XLOOKUP(LEFT(tb_lectura[[#This Row],[ID]],7),tb_Productos[ID PRODUCTO],tb_Productos[DESCRIPCION]),"")</f>
        <v/>
      </c>
      <c r="D49" s="15" t="str">
        <f>IFERROR(_xlfn.XLOOKUP(LEFT(tb_lectura[[#This Row],[ID]],7),tb_Productos[ID PRODUCTO],tb_Productos[precio unitario]),"")</f>
        <v/>
      </c>
      <c r="E49" s="10" t="str">
        <f>IFERROR(_xlfn.XLOOKUP(LEFT(tb_lectura[[#This Row],[ID]],7),tb_Productos[ID PRODUCTO],tb_Productos[Descuento]),"")</f>
        <v/>
      </c>
      <c r="F49" s="5" t="str">
        <f>IFERROR(_xlfn.XLOOKUP(LEFT(tb_lectura[[#This Row],[ID]],7),tb_Productos[ID PRODUCTO],tb_Productos[MARCA]),"")</f>
        <v/>
      </c>
      <c r="G4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9" s="10">
        <f>1</f>
        <v>1</v>
      </c>
    </row>
    <row r="50" spans="2:8" ht="16.5" x14ac:dyDescent="0.3">
      <c r="B50" s="11"/>
      <c r="C50" s="5" t="str">
        <f>IFERROR(_xlfn.XLOOKUP(LEFT(tb_lectura[[#This Row],[ID]],7),tb_Productos[ID PRODUCTO],tb_Productos[DESCRIPCION]),"")</f>
        <v/>
      </c>
      <c r="D50" s="15" t="str">
        <f>IFERROR(_xlfn.XLOOKUP(LEFT(tb_lectura[[#This Row],[ID]],7),tb_Productos[ID PRODUCTO],tb_Productos[precio unitario]),"")</f>
        <v/>
      </c>
      <c r="E50" s="10" t="str">
        <f>IFERROR(_xlfn.XLOOKUP(LEFT(tb_lectura[[#This Row],[ID]],7),tb_Productos[ID PRODUCTO],tb_Productos[Descuento]),"")</f>
        <v/>
      </c>
      <c r="F50" s="5" t="str">
        <f>IFERROR(_xlfn.XLOOKUP(LEFT(tb_lectura[[#This Row],[ID]],7),tb_Productos[ID PRODUCTO],tb_Productos[MARCA]),"")</f>
        <v/>
      </c>
      <c r="G5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0" s="10">
        <f>1</f>
        <v>1</v>
      </c>
    </row>
    <row r="51" spans="2:8" ht="16.5" x14ac:dyDescent="0.3">
      <c r="B51" s="11"/>
      <c r="C51" s="5" t="str">
        <f>IFERROR(_xlfn.XLOOKUP(LEFT(tb_lectura[[#This Row],[ID]],7),tb_Productos[ID PRODUCTO],tb_Productos[DESCRIPCION]),"")</f>
        <v/>
      </c>
      <c r="D51" s="15" t="str">
        <f>IFERROR(_xlfn.XLOOKUP(LEFT(tb_lectura[[#This Row],[ID]],7),tb_Productos[ID PRODUCTO],tb_Productos[precio unitario]),"")</f>
        <v/>
      </c>
      <c r="E51" s="10" t="str">
        <f>IFERROR(_xlfn.XLOOKUP(LEFT(tb_lectura[[#This Row],[ID]],7),tb_Productos[ID PRODUCTO],tb_Productos[Descuento]),"")</f>
        <v/>
      </c>
      <c r="F51" s="5" t="str">
        <f>IFERROR(_xlfn.XLOOKUP(LEFT(tb_lectura[[#This Row],[ID]],7),tb_Productos[ID PRODUCTO],tb_Productos[MARCA]),"")</f>
        <v/>
      </c>
      <c r="G5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1" s="10">
        <f>1</f>
        <v>1</v>
      </c>
    </row>
    <row r="52" spans="2:8" ht="16.5" x14ac:dyDescent="0.3">
      <c r="B52" s="11"/>
      <c r="C52" s="5" t="str">
        <f>IFERROR(_xlfn.XLOOKUP(LEFT(tb_lectura[[#This Row],[ID]],7),tb_Productos[ID PRODUCTO],tb_Productos[DESCRIPCION]),"")</f>
        <v/>
      </c>
      <c r="D52" s="15" t="str">
        <f>IFERROR(_xlfn.XLOOKUP(LEFT(tb_lectura[[#This Row],[ID]],7),tb_Productos[ID PRODUCTO],tb_Productos[precio unitario]),"")</f>
        <v/>
      </c>
      <c r="E52" s="10" t="str">
        <f>IFERROR(_xlfn.XLOOKUP(LEFT(tb_lectura[[#This Row],[ID]],7),tb_Productos[ID PRODUCTO],tb_Productos[Descuento]),"")</f>
        <v/>
      </c>
      <c r="F52" s="5" t="str">
        <f>IFERROR(_xlfn.XLOOKUP(LEFT(tb_lectura[[#This Row],[ID]],7),tb_Productos[ID PRODUCTO],tb_Productos[MARCA]),"")</f>
        <v/>
      </c>
      <c r="G5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2" s="10">
        <f>1</f>
        <v>1</v>
      </c>
    </row>
    <row r="53" spans="2:8" ht="16.5" x14ac:dyDescent="0.3">
      <c r="B53" s="11"/>
      <c r="C53" s="5" t="str">
        <f>IFERROR(_xlfn.XLOOKUP(LEFT(tb_lectura[[#This Row],[ID]],7),tb_Productos[ID PRODUCTO],tb_Productos[DESCRIPCION]),"")</f>
        <v/>
      </c>
      <c r="D53" s="15" t="str">
        <f>IFERROR(_xlfn.XLOOKUP(LEFT(tb_lectura[[#This Row],[ID]],7),tb_Productos[ID PRODUCTO],tb_Productos[precio unitario]),"")</f>
        <v/>
      </c>
      <c r="E53" s="10" t="str">
        <f>IFERROR(_xlfn.XLOOKUP(LEFT(tb_lectura[[#This Row],[ID]],7),tb_Productos[ID PRODUCTO],tb_Productos[Descuento]),"")</f>
        <v/>
      </c>
      <c r="F53" s="5" t="str">
        <f>IFERROR(_xlfn.XLOOKUP(LEFT(tb_lectura[[#This Row],[ID]],7),tb_Productos[ID PRODUCTO],tb_Productos[MARCA]),"")</f>
        <v/>
      </c>
      <c r="G5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3" s="10">
        <f>1</f>
        <v>1</v>
      </c>
    </row>
    <row r="54" spans="2:8" ht="16.5" x14ac:dyDescent="0.3">
      <c r="B54" s="11"/>
      <c r="C54" s="5" t="str">
        <f>IFERROR(_xlfn.XLOOKUP(LEFT(tb_lectura[[#This Row],[ID]],7),tb_Productos[ID PRODUCTO],tb_Productos[DESCRIPCION]),"")</f>
        <v/>
      </c>
      <c r="D54" s="15" t="str">
        <f>IFERROR(_xlfn.XLOOKUP(LEFT(tb_lectura[[#This Row],[ID]],7),tb_Productos[ID PRODUCTO],tb_Productos[precio unitario]),"")</f>
        <v/>
      </c>
      <c r="E54" s="10" t="str">
        <f>IFERROR(_xlfn.XLOOKUP(LEFT(tb_lectura[[#This Row],[ID]],7),tb_Productos[ID PRODUCTO],tb_Productos[Descuento]),"")</f>
        <v/>
      </c>
      <c r="F54" s="5" t="str">
        <f>IFERROR(_xlfn.XLOOKUP(LEFT(tb_lectura[[#This Row],[ID]],7),tb_Productos[ID PRODUCTO],tb_Productos[MARCA]),"")</f>
        <v/>
      </c>
      <c r="G5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4" s="10">
        <f>1</f>
        <v>1</v>
      </c>
    </row>
    <row r="55" spans="2:8" ht="16.5" x14ac:dyDescent="0.3">
      <c r="B55" s="11"/>
      <c r="C55" s="5" t="str">
        <f>IFERROR(_xlfn.XLOOKUP(LEFT(tb_lectura[[#This Row],[ID]],7),tb_Productos[ID PRODUCTO],tb_Productos[DESCRIPCION]),"")</f>
        <v/>
      </c>
      <c r="D55" s="15" t="str">
        <f>IFERROR(_xlfn.XLOOKUP(LEFT(tb_lectura[[#This Row],[ID]],7),tb_Productos[ID PRODUCTO],tb_Productos[precio unitario]),"")</f>
        <v/>
      </c>
      <c r="E55" s="10" t="str">
        <f>IFERROR(_xlfn.XLOOKUP(LEFT(tb_lectura[[#This Row],[ID]],7),tb_Productos[ID PRODUCTO],tb_Productos[Descuento]),"")</f>
        <v/>
      </c>
      <c r="F55" s="5" t="str">
        <f>IFERROR(_xlfn.XLOOKUP(LEFT(tb_lectura[[#This Row],[ID]],7),tb_Productos[ID PRODUCTO],tb_Productos[MARCA]),"")</f>
        <v/>
      </c>
      <c r="G5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5" s="10">
        <f>1</f>
        <v>1</v>
      </c>
    </row>
    <row r="56" spans="2:8" ht="16.5" x14ac:dyDescent="0.3">
      <c r="B56" s="11"/>
      <c r="C56" s="5" t="str">
        <f>IFERROR(_xlfn.XLOOKUP(LEFT(tb_lectura[[#This Row],[ID]],7),tb_Productos[ID PRODUCTO],tb_Productos[DESCRIPCION]),"")</f>
        <v/>
      </c>
      <c r="D56" s="15" t="str">
        <f>IFERROR(_xlfn.XLOOKUP(LEFT(tb_lectura[[#This Row],[ID]],7),tb_Productos[ID PRODUCTO],tb_Productos[precio unitario]),"")</f>
        <v/>
      </c>
      <c r="E56" s="10" t="str">
        <f>IFERROR(_xlfn.XLOOKUP(LEFT(tb_lectura[[#This Row],[ID]],7),tb_Productos[ID PRODUCTO],tb_Productos[Descuento]),"")</f>
        <v/>
      </c>
      <c r="F56" s="5" t="str">
        <f>IFERROR(_xlfn.XLOOKUP(LEFT(tb_lectura[[#This Row],[ID]],7),tb_Productos[ID PRODUCTO],tb_Productos[MARCA]),"")</f>
        <v/>
      </c>
      <c r="G5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6" s="10">
        <f>1</f>
        <v>1</v>
      </c>
    </row>
    <row r="57" spans="2:8" ht="16.5" x14ac:dyDescent="0.3">
      <c r="B57" s="11"/>
      <c r="C57" s="5" t="str">
        <f>IFERROR(_xlfn.XLOOKUP(LEFT(tb_lectura[[#This Row],[ID]],7),tb_Productos[ID PRODUCTO],tb_Productos[DESCRIPCION]),"")</f>
        <v/>
      </c>
      <c r="D57" s="15" t="str">
        <f>IFERROR(_xlfn.XLOOKUP(LEFT(tb_lectura[[#This Row],[ID]],7),tb_Productos[ID PRODUCTO],tb_Productos[precio unitario]),"")</f>
        <v/>
      </c>
      <c r="E57" s="10" t="str">
        <f>IFERROR(_xlfn.XLOOKUP(LEFT(tb_lectura[[#This Row],[ID]],7),tb_Productos[ID PRODUCTO],tb_Productos[Descuento]),"")</f>
        <v/>
      </c>
      <c r="F57" s="5" t="str">
        <f>IFERROR(_xlfn.XLOOKUP(LEFT(tb_lectura[[#This Row],[ID]],7),tb_Productos[ID PRODUCTO],tb_Productos[MARCA]),"")</f>
        <v/>
      </c>
      <c r="G5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7" s="10">
        <f>1</f>
        <v>1</v>
      </c>
    </row>
    <row r="58" spans="2:8" ht="16.5" x14ac:dyDescent="0.3">
      <c r="B58" s="11"/>
      <c r="C58" s="5" t="str">
        <f>IFERROR(_xlfn.XLOOKUP(LEFT(tb_lectura[[#This Row],[ID]],7),tb_Productos[ID PRODUCTO],tb_Productos[DESCRIPCION]),"")</f>
        <v/>
      </c>
      <c r="D58" s="15" t="str">
        <f>IFERROR(_xlfn.XLOOKUP(LEFT(tb_lectura[[#This Row],[ID]],7),tb_Productos[ID PRODUCTO],tb_Productos[precio unitario]),"")</f>
        <v/>
      </c>
      <c r="E58" s="10" t="str">
        <f>IFERROR(_xlfn.XLOOKUP(LEFT(tb_lectura[[#This Row],[ID]],7),tb_Productos[ID PRODUCTO],tb_Productos[Descuento]),"")</f>
        <v/>
      </c>
      <c r="F58" s="5" t="str">
        <f>IFERROR(_xlfn.XLOOKUP(LEFT(tb_lectura[[#This Row],[ID]],7),tb_Productos[ID PRODUCTO],tb_Productos[MARCA]),"")</f>
        <v/>
      </c>
      <c r="G5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8" s="10">
        <f>1</f>
        <v>1</v>
      </c>
    </row>
    <row r="59" spans="2:8" ht="16.5" x14ac:dyDescent="0.3">
      <c r="B59" s="11"/>
      <c r="C59" s="5" t="str">
        <f>IFERROR(_xlfn.XLOOKUP(LEFT(tb_lectura[[#This Row],[ID]],7),tb_Productos[ID PRODUCTO],tb_Productos[DESCRIPCION]),"")</f>
        <v/>
      </c>
      <c r="D59" s="15" t="str">
        <f>IFERROR(_xlfn.XLOOKUP(LEFT(tb_lectura[[#This Row],[ID]],7),tb_Productos[ID PRODUCTO],tb_Productos[precio unitario]),"")</f>
        <v/>
      </c>
      <c r="E59" s="10" t="str">
        <f>IFERROR(_xlfn.XLOOKUP(LEFT(tb_lectura[[#This Row],[ID]],7),tb_Productos[ID PRODUCTO],tb_Productos[Descuento]),"")</f>
        <v/>
      </c>
      <c r="F59" s="5" t="str">
        <f>IFERROR(_xlfn.XLOOKUP(LEFT(tb_lectura[[#This Row],[ID]],7),tb_Productos[ID PRODUCTO],tb_Productos[MARCA]),"")</f>
        <v/>
      </c>
      <c r="G5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9" s="10">
        <f>1</f>
        <v>1</v>
      </c>
    </row>
    <row r="60" spans="2:8" ht="16.5" x14ac:dyDescent="0.3">
      <c r="B60" s="11"/>
      <c r="C60" s="5" t="str">
        <f>IFERROR(_xlfn.XLOOKUP(LEFT(tb_lectura[[#This Row],[ID]],7),tb_Productos[ID PRODUCTO],tb_Productos[DESCRIPCION]),"")</f>
        <v/>
      </c>
      <c r="D60" s="15" t="str">
        <f>IFERROR(_xlfn.XLOOKUP(LEFT(tb_lectura[[#This Row],[ID]],7),tb_Productos[ID PRODUCTO],tb_Productos[precio unitario]),"")</f>
        <v/>
      </c>
      <c r="E60" s="10" t="str">
        <f>IFERROR(_xlfn.XLOOKUP(LEFT(tb_lectura[[#This Row],[ID]],7),tb_Productos[ID PRODUCTO],tb_Productos[Descuento]),"")</f>
        <v/>
      </c>
      <c r="F60" s="5" t="str">
        <f>IFERROR(_xlfn.XLOOKUP(LEFT(tb_lectura[[#This Row],[ID]],7),tb_Productos[ID PRODUCTO],tb_Productos[MARCA]),"")</f>
        <v/>
      </c>
      <c r="G6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0" s="10">
        <f>1</f>
        <v>1</v>
      </c>
    </row>
    <row r="61" spans="2:8" ht="16.5" x14ac:dyDescent="0.3">
      <c r="B61" s="11"/>
      <c r="C61" s="5" t="str">
        <f>IFERROR(_xlfn.XLOOKUP(LEFT(tb_lectura[[#This Row],[ID]],7),tb_Productos[ID PRODUCTO],tb_Productos[DESCRIPCION]),"")</f>
        <v/>
      </c>
      <c r="D61" s="15" t="str">
        <f>IFERROR(_xlfn.XLOOKUP(LEFT(tb_lectura[[#This Row],[ID]],7),tb_Productos[ID PRODUCTO],tb_Productos[precio unitario]),"")</f>
        <v/>
      </c>
      <c r="E61" s="10" t="str">
        <f>IFERROR(_xlfn.XLOOKUP(LEFT(tb_lectura[[#This Row],[ID]],7),tb_Productos[ID PRODUCTO],tb_Productos[Descuento]),"")</f>
        <v/>
      </c>
      <c r="F61" s="5" t="str">
        <f>IFERROR(_xlfn.XLOOKUP(LEFT(tb_lectura[[#This Row],[ID]],7),tb_Productos[ID PRODUCTO],tb_Productos[MARCA]),"")</f>
        <v/>
      </c>
      <c r="G6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1" s="10">
        <f>1</f>
        <v>1</v>
      </c>
    </row>
    <row r="62" spans="2:8" ht="16.5" x14ac:dyDescent="0.3">
      <c r="B62" s="11"/>
      <c r="C62" s="5" t="str">
        <f>IFERROR(_xlfn.XLOOKUP(LEFT(tb_lectura[[#This Row],[ID]],7),tb_Productos[ID PRODUCTO],tb_Productos[DESCRIPCION]),"")</f>
        <v/>
      </c>
      <c r="D62" s="15" t="str">
        <f>IFERROR(_xlfn.XLOOKUP(LEFT(tb_lectura[[#This Row],[ID]],7),tb_Productos[ID PRODUCTO],tb_Productos[precio unitario]),"")</f>
        <v/>
      </c>
      <c r="E62" s="10" t="str">
        <f>IFERROR(_xlfn.XLOOKUP(LEFT(tb_lectura[[#This Row],[ID]],7),tb_Productos[ID PRODUCTO],tb_Productos[Descuento]),"")</f>
        <v/>
      </c>
      <c r="F62" s="5" t="str">
        <f>IFERROR(_xlfn.XLOOKUP(LEFT(tb_lectura[[#This Row],[ID]],7),tb_Productos[ID PRODUCTO],tb_Productos[MARCA]),"")</f>
        <v/>
      </c>
      <c r="G6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2" s="10">
        <f>1</f>
        <v>1</v>
      </c>
    </row>
    <row r="63" spans="2:8" ht="16.5" x14ac:dyDescent="0.3">
      <c r="B63" s="11"/>
      <c r="C63" s="5" t="str">
        <f>IFERROR(_xlfn.XLOOKUP(LEFT(tb_lectura[[#This Row],[ID]],7),tb_Productos[ID PRODUCTO],tb_Productos[DESCRIPCION]),"")</f>
        <v/>
      </c>
      <c r="D63" s="15" t="str">
        <f>IFERROR(_xlfn.XLOOKUP(LEFT(tb_lectura[[#This Row],[ID]],7),tb_Productos[ID PRODUCTO],tb_Productos[precio unitario]),"")</f>
        <v/>
      </c>
      <c r="E63" s="10" t="str">
        <f>IFERROR(_xlfn.XLOOKUP(LEFT(tb_lectura[[#This Row],[ID]],7),tb_Productos[ID PRODUCTO],tb_Productos[Descuento]),"")</f>
        <v/>
      </c>
      <c r="F63" s="5" t="str">
        <f>IFERROR(_xlfn.XLOOKUP(LEFT(tb_lectura[[#This Row],[ID]],7),tb_Productos[ID PRODUCTO],tb_Productos[MARCA]),"")</f>
        <v/>
      </c>
      <c r="G6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3" s="10">
        <f>1</f>
        <v>1</v>
      </c>
    </row>
    <row r="64" spans="2:8" ht="16.5" x14ac:dyDescent="0.3">
      <c r="B64" s="11"/>
      <c r="C64" s="5" t="str">
        <f>IFERROR(_xlfn.XLOOKUP(LEFT(tb_lectura[[#This Row],[ID]],7),tb_Productos[ID PRODUCTO],tb_Productos[DESCRIPCION]),"")</f>
        <v/>
      </c>
      <c r="D64" s="15" t="str">
        <f>IFERROR(_xlfn.XLOOKUP(LEFT(tb_lectura[[#This Row],[ID]],7),tb_Productos[ID PRODUCTO],tb_Productos[precio unitario]),"")</f>
        <v/>
      </c>
      <c r="E64" s="10" t="str">
        <f>IFERROR(_xlfn.XLOOKUP(LEFT(tb_lectura[[#This Row],[ID]],7),tb_Productos[ID PRODUCTO],tb_Productos[Descuento]),"")</f>
        <v/>
      </c>
      <c r="F64" s="5" t="str">
        <f>IFERROR(_xlfn.XLOOKUP(LEFT(tb_lectura[[#This Row],[ID]],7),tb_Productos[ID PRODUCTO],tb_Productos[MARCA]),"")</f>
        <v/>
      </c>
      <c r="G6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4" s="10">
        <f>1</f>
        <v>1</v>
      </c>
    </row>
    <row r="65" spans="2:8" ht="16.5" x14ac:dyDescent="0.3">
      <c r="B65" s="11"/>
      <c r="C65" s="5" t="str">
        <f>IFERROR(_xlfn.XLOOKUP(LEFT(tb_lectura[[#This Row],[ID]],7),tb_Productos[ID PRODUCTO],tb_Productos[DESCRIPCION]),"")</f>
        <v/>
      </c>
      <c r="D65" s="15" t="str">
        <f>IFERROR(_xlfn.XLOOKUP(LEFT(tb_lectura[[#This Row],[ID]],7),tb_Productos[ID PRODUCTO],tb_Productos[precio unitario]),"")</f>
        <v/>
      </c>
      <c r="E65" s="10" t="str">
        <f>IFERROR(_xlfn.XLOOKUP(LEFT(tb_lectura[[#This Row],[ID]],7),tb_Productos[ID PRODUCTO],tb_Productos[Descuento]),"")</f>
        <v/>
      </c>
      <c r="F65" s="5" t="str">
        <f>IFERROR(_xlfn.XLOOKUP(LEFT(tb_lectura[[#This Row],[ID]],7),tb_Productos[ID PRODUCTO],tb_Productos[MARCA]),"")</f>
        <v/>
      </c>
      <c r="G6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5" s="10">
        <f>1</f>
        <v>1</v>
      </c>
    </row>
    <row r="66" spans="2:8" ht="16.5" x14ac:dyDescent="0.3">
      <c r="B66" s="11"/>
      <c r="C66" s="5" t="str">
        <f>IFERROR(_xlfn.XLOOKUP(LEFT(tb_lectura[[#This Row],[ID]],7),tb_Productos[ID PRODUCTO],tb_Productos[DESCRIPCION]),"")</f>
        <v/>
      </c>
      <c r="D66" s="15" t="str">
        <f>IFERROR(_xlfn.XLOOKUP(LEFT(tb_lectura[[#This Row],[ID]],7),tb_Productos[ID PRODUCTO],tb_Productos[precio unitario]),"")</f>
        <v/>
      </c>
      <c r="E66" s="10" t="str">
        <f>IFERROR(_xlfn.XLOOKUP(LEFT(tb_lectura[[#This Row],[ID]],7),tb_Productos[ID PRODUCTO],tb_Productos[Descuento]),"")</f>
        <v/>
      </c>
      <c r="F66" s="5" t="str">
        <f>IFERROR(_xlfn.XLOOKUP(LEFT(tb_lectura[[#This Row],[ID]],7),tb_Productos[ID PRODUCTO],tb_Productos[MARCA]),"")</f>
        <v/>
      </c>
      <c r="G6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6" s="10">
        <f>1</f>
        <v>1</v>
      </c>
    </row>
    <row r="67" spans="2:8" ht="16.5" x14ac:dyDescent="0.3">
      <c r="B67" s="11"/>
      <c r="C67" s="5" t="str">
        <f>IFERROR(_xlfn.XLOOKUP(LEFT(tb_lectura[[#This Row],[ID]],7),tb_Productos[ID PRODUCTO],tb_Productos[DESCRIPCION]),"")</f>
        <v/>
      </c>
      <c r="D67" s="15" t="str">
        <f>IFERROR(_xlfn.XLOOKUP(LEFT(tb_lectura[[#This Row],[ID]],7),tb_Productos[ID PRODUCTO],tb_Productos[precio unitario]),"")</f>
        <v/>
      </c>
      <c r="E67" s="10" t="str">
        <f>IFERROR(_xlfn.XLOOKUP(LEFT(tb_lectura[[#This Row],[ID]],7),tb_Productos[ID PRODUCTO],tb_Productos[Descuento]),"")</f>
        <v/>
      </c>
      <c r="F67" s="5" t="str">
        <f>IFERROR(_xlfn.XLOOKUP(LEFT(tb_lectura[[#This Row],[ID]],7),tb_Productos[ID PRODUCTO],tb_Productos[MARCA]),"")</f>
        <v/>
      </c>
      <c r="G6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7" s="10">
        <f>1</f>
        <v>1</v>
      </c>
    </row>
    <row r="68" spans="2:8" ht="16.5" x14ac:dyDescent="0.3">
      <c r="B68" s="11"/>
      <c r="C68" s="5" t="str">
        <f>IFERROR(_xlfn.XLOOKUP(LEFT(tb_lectura[[#This Row],[ID]],7),tb_Productos[ID PRODUCTO],tb_Productos[DESCRIPCION]),"")</f>
        <v/>
      </c>
      <c r="D68" s="15" t="str">
        <f>IFERROR(_xlfn.XLOOKUP(LEFT(tb_lectura[[#This Row],[ID]],7),tb_Productos[ID PRODUCTO],tb_Productos[precio unitario]),"")</f>
        <v/>
      </c>
      <c r="E68" s="10" t="str">
        <f>IFERROR(_xlfn.XLOOKUP(LEFT(tb_lectura[[#This Row],[ID]],7),tb_Productos[ID PRODUCTO],tb_Productos[Descuento]),"")</f>
        <v/>
      </c>
      <c r="F68" s="5" t="str">
        <f>IFERROR(_xlfn.XLOOKUP(LEFT(tb_lectura[[#This Row],[ID]],7),tb_Productos[ID PRODUCTO],tb_Productos[MARCA]),"")</f>
        <v/>
      </c>
      <c r="G6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8" s="10">
        <f>1</f>
        <v>1</v>
      </c>
    </row>
    <row r="69" spans="2:8" ht="16.5" x14ac:dyDescent="0.3">
      <c r="B69" s="11"/>
      <c r="C69" s="5" t="str">
        <f>IFERROR(_xlfn.XLOOKUP(LEFT(tb_lectura[[#This Row],[ID]],7),tb_Productos[ID PRODUCTO],tb_Productos[DESCRIPCION]),"")</f>
        <v/>
      </c>
      <c r="D69" s="15" t="str">
        <f>IFERROR(_xlfn.XLOOKUP(LEFT(tb_lectura[[#This Row],[ID]],7),tb_Productos[ID PRODUCTO],tb_Productos[precio unitario]),"")</f>
        <v/>
      </c>
      <c r="E69" s="10" t="str">
        <f>IFERROR(_xlfn.XLOOKUP(LEFT(tb_lectura[[#This Row],[ID]],7),tb_Productos[ID PRODUCTO],tb_Productos[Descuento]),"")</f>
        <v/>
      </c>
      <c r="F69" s="5" t="str">
        <f>IFERROR(_xlfn.XLOOKUP(LEFT(tb_lectura[[#This Row],[ID]],7),tb_Productos[ID PRODUCTO],tb_Productos[MARCA]),"")</f>
        <v/>
      </c>
      <c r="G6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9" s="10">
        <f>1</f>
        <v>1</v>
      </c>
    </row>
    <row r="70" spans="2:8" ht="16.5" x14ac:dyDescent="0.3">
      <c r="B70" s="11"/>
      <c r="C70" s="5" t="str">
        <f>IFERROR(_xlfn.XLOOKUP(LEFT(tb_lectura[[#This Row],[ID]],7),tb_Productos[ID PRODUCTO],tb_Productos[DESCRIPCION]),"")</f>
        <v/>
      </c>
      <c r="D70" s="15" t="str">
        <f>IFERROR(_xlfn.XLOOKUP(LEFT(tb_lectura[[#This Row],[ID]],7),tb_Productos[ID PRODUCTO],tb_Productos[precio unitario]),"")</f>
        <v/>
      </c>
      <c r="E70" s="10" t="str">
        <f>IFERROR(_xlfn.XLOOKUP(LEFT(tb_lectura[[#This Row],[ID]],7),tb_Productos[ID PRODUCTO],tb_Productos[Descuento]),"")</f>
        <v/>
      </c>
      <c r="F70" s="5" t="str">
        <f>IFERROR(_xlfn.XLOOKUP(LEFT(tb_lectura[[#This Row],[ID]],7),tb_Productos[ID PRODUCTO],tb_Productos[MARCA]),"")</f>
        <v/>
      </c>
      <c r="G7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0" s="10">
        <f>1</f>
        <v>1</v>
      </c>
    </row>
    <row r="71" spans="2:8" ht="16.5" x14ac:dyDescent="0.3">
      <c r="B71" s="11"/>
      <c r="C71" s="5" t="str">
        <f>IFERROR(_xlfn.XLOOKUP(LEFT(tb_lectura[[#This Row],[ID]],7),tb_Productos[ID PRODUCTO],tb_Productos[DESCRIPCION]),"")</f>
        <v/>
      </c>
      <c r="D71" s="15" t="str">
        <f>IFERROR(_xlfn.XLOOKUP(LEFT(tb_lectura[[#This Row],[ID]],7),tb_Productos[ID PRODUCTO],tb_Productos[precio unitario]),"")</f>
        <v/>
      </c>
      <c r="E71" s="10" t="str">
        <f>IFERROR(_xlfn.XLOOKUP(LEFT(tb_lectura[[#This Row],[ID]],7),tb_Productos[ID PRODUCTO],tb_Productos[Descuento]),"")</f>
        <v/>
      </c>
      <c r="F71" s="5" t="str">
        <f>IFERROR(_xlfn.XLOOKUP(LEFT(tb_lectura[[#This Row],[ID]],7),tb_Productos[ID PRODUCTO],tb_Productos[MARCA]),"")</f>
        <v/>
      </c>
      <c r="G7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1" s="10">
        <f>1</f>
        <v>1</v>
      </c>
    </row>
    <row r="72" spans="2:8" ht="16.5" x14ac:dyDescent="0.3">
      <c r="B72" s="11"/>
      <c r="C72" s="5" t="str">
        <f>IFERROR(_xlfn.XLOOKUP(LEFT(tb_lectura[[#This Row],[ID]],7),tb_Productos[ID PRODUCTO],tb_Productos[DESCRIPCION]),"")</f>
        <v/>
      </c>
      <c r="D72" s="15" t="str">
        <f>IFERROR(_xlfn.XLOOKUP(LEFT(tb_lectura[[#This Row],[ID]],7),tb_Productos[ID PRODUCTO],tb_Productos[precio unitario]),"")</f>
        <v/>
      </c>
      <c r="E72" s="10" t="str">
        <f>IFERROR(_xlfn.XLOOKUP(LEFT(tb_lectura[[#This Row],[ID]],7),tb_Productos[ID PRODUCTO],tb_Productos[Descuento]),"")</f>
        <v/>
      </c>
      <c r="F72" s="5" t="str">
        <f>IFERROR(_xlfn.XLOOKUP(LEFT(tb_lectura[[#This Row],[ID]],7),tb_Productos[ID PRODUCTO],tb_Productos[MARCA]),"")</f>
        <v/>
      </c>
      <c r="G7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2" s="10">
        <f>1</f>
        <v>1</v>
      </c>
    </row>
    <row r="73" spans="2:8" ht="16.5" x14ac:dyDescent="0.3">
      <c r="B73" s="11"/>
      <c r="C73" s="5" t="str">
        <f>IFERROR(_xlfn.XLOOKUP(LEFT(tb_lectura[[#This Row],[ID]],7),tb_Productos[ID PRODUCTO],tb_Productos[DESCRIPCION]),"")</f>
        <v/>
      </c>
      <c r="D73" s="15" t="str">
        <f>IFERROR(_xlfn.XLOOKUP(LEFT(tb_lectura[[#This Row],[ID]],7),tb_Productos[ID PRODUCTO],tb_Productos[precio unitario]),"")</f>
        <v/>
      </c>
      <c r="E73" s="10" t="str">
        <f>IFERROR(_xlfn.XLOOKUP(LEFT(tb_lectura[[#This Row],[ID]],7),tb_Productos[ID PRODUCTO],tb_Productos[Descuento]),"")</f>
        <v/>
      </c>
      <c r="F73" s="5" t="str">
        <f>IFERROR(_xlfn.XLOOKUP(LEFT(tb_lectura[[#This Row],[ID]],7),tb_Productos[ID PRODUCTO],tb_Productos[MARCA]),"")</f>
        <v/>
      </c>
      <c r="G7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3" s="10">
        <f>1</f>
        <v>1</v>
      </c>
    </row>
    <row r="74" spans="2:8" ht="16.5" x14ac:dyDescent="0.3">
      <c r="B74" s="11"/>
      <c r="C74" s="5" t="str">
        <f>IFERROR(_xlfn.XLOOKUP(LEFT(tb_lectura[[#This Row],[ID]],7),tb_Productos[ID PRODUCTO],tb_Productos[DESCRIPCION]),"")</f>
        <v/>
      </c>
      <c r="D74" s="15" t="str">
        <f>IFERROR(_xlfn.XLOOKUP(LEFT(tb_lectura[[#This Row],[ID]],7),tb_Productos[ID PRODUCTO],tb_Productos[precio unitario]),"")</f>
        <v/>
      </c>
      <c r="E74" s="10" t="str">
        <f>IFERROR(_xlfn.XLOOKUP(LEFT(tb_lectura[[#This Row],[ID]],7),tb_Productos[ID PRODUCTO],tb_Productos[Descuento]),"")</f>
        <v/>
      </c>
      <c r="F74" s="5" t="str">
        <f>IFERROR(_xlfn.XLOOKUP(LEFT(tb_lectura[[#This Row],[ID]],7),tb_Productos[ID PRODUCTO],tb_Productos[MARCA]),"")</f>
        <v/>
      </c>
      <c r="G7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4" s="10">
        <f>1</f>
        <v>1</v>
      </c>
    </row>
    <row r="75" spans="2:8" ht="16.5" x14ac:dyDescent="0.3">
      <c r="B75" s="11"/>
      <c r="C75" s="5" t="str">
        <f>IFERROR(_xlfn.XLOOKUP(LEFT(tb_lectura[[#This Row],[ID]],7),tb_Productos[ID PRODUCTO],tb_Productos[DESCRIPCION]),"")</f>
        <v/>
      </c>
      <c r="D75" s="15" t="str">
        <f>IFERROR(_xlfn.XLOOKUP(LEFT(tb_lectura[[#This Row],[ID]],7),tb_Productos[ID PRODUCTO],tb_Productos[precio unitario]),"")</f>
        <v/>
      </c>
      <c r="E75" s="10" t="str">
        <f>IFERROR(_xlfn.XLOOKUP(LEFT(tb_lectura[[#This Row],[ID]],7),tb_Productos[ID PRODUCTO],tb_Productos[Descuento]),"")</f>
        <v/>
      </c>
      <c r="F75" s="5" t="str">
        <f>IFERROR(_xlfn.XLOOKUP(LEFT(tb_lectura[[#This Row],[ID]],7),tb_Productos[ID PRODUCTO],tb_Productos[MARCA]),"")</f>
        <v/>
      </c>
      <c r="G7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5" s="10">
        <f>1</f>
        <v>1</v>
      </c>
    </row>
    <row r="76" spans="2:8" ht="16.5" x14ac:dyDescent="0.3">
      <c r="B76" s="11"/>
      <c r="C76" s="5" t="str">
        <f>IFERROR(_xlfn.XLOOKUP(LEFT(tb_lectura[[#This Row],[ID]],7),tb_Productos[ID PRODUCTO],tb_Productos[DESCRIPCION]),"")</f>
        <v/>
      </c>
      <c r="D76" s="15" t="str">
        <f>IFERROR(_xlfn.XLOOKUP(LEFT(tb_lectura[[#This Row],[ID]],7),tb_Productos[ID PRODUCTO],tb_Productos[precio unitario]),"")</f>
        <v/>
      </c>
      <c r="E76" s="10" t="str">
        <f>IFERROR(_xlfn.XLOOKUP(LEFT(tb_lectura[[#This Row],[ID]],7),tb_Productos[ID PRODUCTO],tb_Productos[Descuento]),"")</f>
        <v/>
      </c>
      <c r="F76" s="5" t="str">
        <f>IFERROR(_xlfn.XLOOKUP(LEFT(tb_lectura[[#This Row],[ID]],7),tb_Productos[ID PRODUCTO],tb_Productos[MARCA]),"")</f>
        <v/>
      </c>
      <c r="G7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6" s="10">
        <f>1</f>
        <v>1</v>
      </c>
    </row>
    <row r="77" spans="2:8" ht="16.5" x14ac:dyDescent="0.3">
      <c r="B77" s="11"/>
      <c r="C77" s="5" t="str">
        <f>IFERROR(_xlfn.XLOOKUP(LEFT(tb_lectura[[#This Row],[ID]],7),tb_Productos[ID PRODUCTO],tb_Productos[DESCRIPCION]),"")</f>
        <v/>
      </c>
      <c r="D77" s="15" t="str">
        <f>IFERROR(_xlfn.XLOOKUP(LEFT(tb_lectura[[#This Row],[ID]],7),tb_Productos[ID PRODUCTO],tb_Productos[precio unitario]),"")</f>
        <v/>
      </c>
      <c r="E77" s="10" t="str">
        <f>IFERROR(_xlfn.XLOOKUP(LEFT(tb_lectura[[#This Row],[ID]],7),tb_Productos[ID PRODUCTO],tb_Productos[Descuento]),"")</f>
        <v/>
      </c>
      <c r="F77" s="5" t="str">
        <f>IFERROR(_xlfn.XLOOKUP(LEFT(tb_lectura[[#This Row],[ID]],7),tb_Productos[ID PRODUCTO],tb_Productos[MARCA]),"")</f>
        <v/>
      </c>
      <c r="G7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7" s="10">
        <f>1</f>
        <v>1</v>
      </c>
    </row>
    <row r="78" spans="2:8" ht="16.5" x14ac:dyDescent="0.3">
      <c r="B78" s="11"/>
      <c r="C78" s="5" t="str">
        <f>IFERROR(_xlfn.XLOOKUP(LEFT(tb_lectura[[#This Row],[ID]],7),tb_Productos[ID PRODUCTO],tb_Productos[DESCRIPCION]),"")</f>
        <v/>
      </c>
      <c r="D78" s="15" t="str">
        <f>IFERROR(_xlfn.XLOOKUP(LEFT(tb_lectura[[#This Row],[ID]],7),tb_Productos[ID PRODUCTO],tb_Productos[precio unitario]),"")</f>
        <v/>
      </c>
      <c r="E78" s="10" t="str">
        <f>IFERROR(_xlfn.XLOOKUP(LEFT(tb_lectura[[#This Row],[ID]],7),tb_Productos[ID PRODUCTO],tb_Productos[Descuento]),"")</f>
        <v/>
      </c>
      <c r="F78" s="5" t="str">
        <f>IFERROR(_xlfn.XLOOKUP(LEFT(tb_lectura[[#This Row],[ID]],7),tb_Productos[ID PRODUCTO],tb_Productos[MARCA]),"")</f>
        <v/>
      </c>
      <c r="G7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8" s="10">
        <f>1</f>
        <v>1</v>
      </c>
    </row>
    <row r="79" spans="2:8" ht="16.5" x14ac:dyDescent="0.3">
      <c r="B79" s="11"/>
      <c r="C79" s="5" t="str">
        <f>IFERROR(_xlfn.XLOOKUP(LEFT(tb_lectura[[#This Row],[ID]],7),tb_Productos[ID PRODUCTO],tb_Productos[DESCRIPCION]),"")</f>
        <v/>
      </c>
      <c r="D79" s="15" t="str">
        <f>IFERROR(_xlfn.XLOOKUP(LEFT(tb_lectura[[#This Row],[ID]],7),tb_Productos[ID PRODUCTO],tb_Productos[precio unitario]),"")</f>
        <v/>
      </c>
      <c r="E79" s="10" t="str">
        <f>IFERROR(_xlfn.XLOOKUP(LEFT(tb_lectura[[#This Row],[ID]],7),tb_Productos[ID PRODUCTO],tb_Productos[Descuento]),"")</f>
        <v/>
      </c>
      <c r="F79" s="5" t="str">
        <f>IFERROR(_xlfn.XLOOKUP(LEFT(tb_lectura[[#This Row],[ID]],7),tb_Productos[ID PRODUCTO],tb_Productos[MARCA]),"")</f>
        <v/>
      </c>
      <c r="G7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9" s="10">
        <f>1</f>
        <v>1</v>
      </c>
    </row>
    <row r="80" spans="2:8" ht="16.5" x14ac:dyDescent="0.3">
      <c r="B80" s="11"/>
      <c r="C80" s="5" t="str">
        <f>IFERROR(_xlfn.XLOOKUP(LEFT(tb_lectura[[#This Row],[ID]],7),tb_Productos[ID PRODUCTO],tb_Productos[DESCRIPCION]),"")</f>
        <v/>
      </c>
      <c r="D80" s="15" t="str">
        <f>IFERROR(_xlfn.XLOOKUP(LEFT(tb_lectura[[#This Row],[ID]],7),tb_Productos[ID PRODUCTO],tb_Productos[precio unitario]),"")</f>
        <v/>
      </c>
      <c r="E80" s="10" t="str">
        <f>IFERROR(_xlfn.XLOOKUP(LEFT(tb_lectura[[#This Row],[ID]],7),tb_Productos[ID PRODUCTO],tb_Productos[Descuento]),"")</f>
        <v/>
      </c>
      <c r="F80" s="5" t="str">
        <f>IFERROR(_xlfn.XLOOKUP(LEFT(tb_lectura[[#This Row],[ID]],7),tb_Productos[ID PRODUCTO],tb_Productos[MARCA]),"")</f>
        <v/>
      </c>
      <c r="G8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0" s="10">
        <f>1</f>
        <v>1</v>
      </c>
    </row>
    <row r="81" spans="2:8" ht="16.5" x14ac:dyDescent="0.3">
      <c r="B81" s="11"/>
      <c r="C81" s="5" t="str">
        <f>IFERROR(_xlfn.XLOOKUP(LEFT(tb_lectura[[#This Row],[ID]],7),tb_Productos[ID PRODUCTO],tb_Productos[DESCRIPCION]),"")</f>
        <v/>
      </c>
      <c r="D81" s="15" t="str">
        <f>IFERROR(_xlfn.XLOOKUP(LEFT(tb_lectura[[#This Row],[ID]],7),tb_Productos[ID PRODUCTO],tb_Productos[precio unitario]),"")</f>
        <v/>
      </c>
      <c r="E81" s="10" t="str">
        <f>IFERROR(_xlfn.XLOOKUP(LEFT(tb_lectura[[#This Row],[ID]],7),tb_Productos[ID PRODUCTO],tb_Productos[Descuento]),"")</f>
        <v/>
      </c>
      <c r="F81" s="5" t="str">
        <f>IFERROR(_xlfn.XLOOKUP(LEFT(tb_lectura[[#This Row],[ID]],7),tb_Productos[ID PRODUCTO],tb_Productos[MARCA]),"")</f>
        <v/>
      </c>
      <c r="G8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1" s="10">
        <f>1</f>
        <v>1</v>
      </c>
    </row>
    <row r="82" spans="2:8" ht="16.5" x14ac:dyDescent="0.3">
      <c r="B82" s="11"/>
      <c r="C82" s="5" t="str">
        <f>IFERROR(_xlfn.XLOOKUP(LEFT(tb_lectura[[#This Row],[ID]],7),tb_Productos[ID PRODUCTO],tb_Productos[DESCRIPCION]),"")</f>
        <v/>
      </c>
      <c r="D82" s="15" t="str">
        <f>IFERROR(_xlfn.XLOOKUP(LEFT(tb_lectura[[#This Row],[ID]],7),tb_Productos[ID PRODUCTO],tb_Productos[precio unitario]),"")</f>
        <v/>
      </c>
      <c r="E82" s="10" t="str">
        <f>IFERROR(_xlfn.XLOOKUP(LEFT(tb_lectura[[#This Row],[ID]],7),tb_Productos[ID PRODUCTO],tb_Productos[Descuento]),"")</f>
        <v/>
      </c>
      <c r="F82" s="5" t="str">
        <f>IFERROR(_xlfn.XLOOKUP(LEFT(tb_lectura[[#This Row],[ID]],7),tb_Productos[ID PRODUCTO],tb_Productos[MARCA]),"")</f>
        <v/>
      </c>
      <c r="G8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2" s="10">
        <f>1</f>
        <v>1</v>
      </c>
    </row>
    <row r="83" spans="2:8" ht="16.5" x14ac:dyDescent="0.3">
      <c r="B83" s="11"/>
      <c r="C83" s="5" t="str">
        <f>IFERROR(_xlfn.XLOOKUP(LEFT(tb_lectura[[#This Row],[ID]],7),tb_Productos[ID PRODUCTO],tb_Productos[DESCRIPCION]),"")</f>
        <v/>
      </c>
      <c r="D83" s="15" t="str">
        <f>IFERROR(_xlfn.XLOOKUP(LEFT(tb_lectura[[#This Row],[ID]],7),tb_Productos[ID PRODUCTO],tb_Productos[precio unitario]),"")</f>
        <v/>
      </c>
      <c r="E83" s="10" t="str">
        <f>IFERROR(_xlfn.XLOOKUP(LEFT(tb_lectura[[#This Row],[ID]],7),tb_Productos[ID PRODUCTO],tb_Productos[Descuento]),"")</f>
        <v/>
      </c>
      <c r="F83" s="5" t="str">
        <f>IFERROR(_xlfn.XLOOKUP(LEFT(tb_lectura[[#This Row],[ID]],7),tb_Productos[ID PRODUCTO],tb_Productos[MARCA]),"")</f>
        <v/>
      </c>
      <c r="G8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3" s="10">
        <f>1</f>
        <v>1</v>
      </c>
    </row>
    <row r="84" spans="2:8" ht="16.5" x14ac:dyDescent="0.3">
      <c r="B84" s="11"/>
      <c r="C84" s="5" t="str">
        <f>IFERROR(_xlfn.XLOOKUP(LEFT(tb_lectura[[#This Row],[ID]],7),tb_Productos[ID PRODUCTO],tb_Productos[DESCRIPCION]),"")</f>
        <v/>
      </c>
      <c r="D84" s="15" t="str">
        <f>IFERROR(_xlfn.XLOOKUP(LEFT(tb_lectura[[#This Row],[ID]],7),tb_Productos[ID PRODUCTO],tb_Productos[precio unitario]),"")</f>
        <v/>
      </c>
      <c r="E84" s="10" t="str">
        <f>IFERROR(_xlfn.XLOOKUP(LEFT(tb_lectura[[#This Row],[ID]],7),tb_Productos[ID PRODUCTO],tb_Productos[Descuento]),"")</f>
        <v/>
      </c>
      <c r="F84" s="5" t="str">
        <f>IFERROR(_xlfn.XLOOKUP(LEFT(tb_lectura[[#This Row],[ID]],7),tb_Productos[ID PRODUCTO],tb_Productos[MARCA]),"")</f>
        <v/>
      </c>
      <c r="G8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4" s="10">
        <f>1</f>
        <v>1</v>
      </c>
    </row>
    <row r="85" spans="2:8" ht="16.5" x14ac:dyDescent="0.3">
      <c r="B85" s="11"/>
      <c r="C85" s="5" t="str">
        <f>IFERROR(_xlfn.XLOOKUP(LEFT(tb_lectura[[#This Row],[ID]],7),tb_Productos[ID PRODUCTO],tb_Productos[DESCRIPCION]),"")</f>
        <v/>
      </c>
      <c r="D85" s="15" t="str">
        <f>IFERROR(_xlfn.XLOOKUP(LEFT(tb_lectura[[#This Row],[ID]],7),tb_Productos[ID PRODUCTO],tb_Productos[precio unitario]),"")</f>
        <v/>
      </c>
      <c r="E85" s="10" t="str">
        <f>IFERROR(_xlfn.XLOOKUP(LEFT(tb_lectura[[#This Row],[ID]],7),tb_Productos[ID PRODUCTO],tb_Productos[Descuento]),"")</f>
        <v/>
      </c>
      <c r="F85" s="5" t="str">
        <f>IFERROR(_xlfn.XLOOKUP(LEFT(tb_lectura[[#This Row],[ID]],7),tb_Productos[ID PRODUCTO],tb_Productos[MARCA]),"")</f>
        <v/>
      </c>
      <c r="G8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5" s="10">
        <f>1</f>
        <v>1</v>
      </c>
    </row>
    <row r="86" spans="2:8" ht="16.5" x14ac:dyDescent="0.3">
      <c r="B86" s="11"/>
      <c r="C86" s="5" t="str">
        <f>IFERROR(_xlfn.XLOOKUP(LEFT(tb_lectura[[#This Row],[ID]],7),tb_Productos[ID PRODUCTO],tb_Productos[DESCRIPCION]),"")</f>
        <v/>
      </c>
      <c r="D86" s="15" t="str">
        <f>IFERROR(_xlfn.XLOOKUP(LEFT(tb_lectura[[#This Row],[ID]],7),tb_Productos[ID PRODUCTO],tb_Productos[precio unitario]),"")</f>
        <v/>
      </c>
      <c r="E86" s="10" t="str">
        <f>IFERROR(_xlfn.XLOOKUP(LEFT(tb_lectura[[#This Row],[ID]],7),tb_Productos[ID PRODUCTO],tb_Productos[Descuento]),"")</f>
        <v/>
      </c>
      <c r="F86" s="5" t="str">
        <f>IFERROR(_xlfn.XLOOKUP(LEFT(tb_lectura[[#This Row],[ID]],7),tb_Productos[ID PRODUCTO],tb_Productos[MARCA]),"")</f>
        <v/>
      </c>
      <c r="G8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6" s="10">
        <f>1</f>
        <v>1</v>
      </c>
    </row>
    <row r="87" spans="2:8" ht="16.5" x14ac:dyDescent="0.3">
      <c r="B87" s="11"/>
      <c r="C87" s="5" t="str">
        <f>IFERROR(_xlfn.XLOOKUP(LEFT(tb_lectura[[#This Row],[ID]],7),tb_Productos[ID PRODUCTO],tb_Productos[DESCRIPCION]),"")</f>
        <v/>
      </c>
      <c r="D87" s="15" t="str">
        <f>IFERROR(_xlfn.XLOOKUP(LEFT(tb_lectura[[#This Row],[ID]],7),tb_Productos[ID PRODUCTO],tb_Productos[precio unitario]),"")</f>
        <v/>
      </c>
      <c r="E87" s="10" t="str">
        <f>IFERROR(_xlfn.XLOOKUP(LEFT(tb_lectura[[#This Row],[ID]],7),tb_Productos[ID PRODUCTO],tb_Productos[Descuento]),"")</f>
        <v/>
      </c>
      <c r="F87" s="5" t="str">
        <f>IFERROR(_xlfn.XLOOKUP(LEFT(tb_lectura[[#This Row],[ID]],7),tb_Productos[ID PRODUCTO],tb_Productos[MARCA]),"")</f>
        <v/>
      </c>
      <c r="G8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7" s="10">
        <f>1</f>
        <v>1</v>
      </c>
    </row>
    <row r="88" spans="2:8" ht="16.5" x14ac:dyDescent="0.3">
      <c r="B88" s="11"/>
      <c r="C88" s="5" t="str">
        <f>IFERROR(_xlfn.XLOOKUP(LEFT(tb_lectura[[#This Row],[ID]],7),tb_Productos[ID PRODUCTO],tb_Productos[DESCRIPCION]),"")</f>
        <v/>
      </c>
      <c r="D88" s="15" t="str">
        <f>IFERROR(_xlfn.XLOOKUP(LEFT(tb_lectura[[#This Row],[ID]],7),tb_Productos[ID PRODUCTO],tb_Productos[precio unitario]),"")</f>
        <v/>
      </c>
      <c r="E88" s="10" t="str">
        <f>IFERROR(_xlfn.XLOOKUP(LEFT(tb_lectura[[#This Row],[ID]],7),tb_Productos[ID PRODUCTO],tb_Productos[Descuento]),"")</f>
        <v/>
      </c>
      <c r="F88" s="5" t="str">
        <f>IFERROR(_xlfn.XLOOKUP(LEFT(tb_lectura[[#This Row],[ID]],7),tb_Productos[ID PRODUCTO],tb_Productos[MARCA]),"")</f>
        <v/>
      </c>
      <c r="G8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8" s="10">
        <f>1</f>
        <v>1</v>
      </c>
    </row>
    <row r="89" spans="2:8" ht="16.5" x14ac:dyDescent="0.3">
      <c r="B89" s="11"/>
      <c r="C89" s="5" t="str">
        <f>IFERROR(_xlfn.XLOOKUP(LEFT(tb_lectura[[#This Row],[ID]],7),tb_Productos[ID PRODUCTO],tb_Productos[DESCRIPCION]),"")</f>
        <v/>
      </c>
      <c r="D89" s="15" t="str">
        <f>IFERROR(_xlfn.XLOOKUP(LEFT(tb_lectura[[#This Row],[ID]],7),tb_Productos[ID PRODUCTO],tb_Productos[precio unitario]),"")</f>
        <v/>
      </c>
      <c r="E89" s="10" t="str">
        <f>IFERROR(_xlfn.XLOOKUP(LEFT(tb_lectura[[#This Row],[ID]],7),tb_Productos[ID PRODUCTO],tb_Productos[Descuento]),"")</f>
        <v/>
      </c>
      <c r="F89" s="5" t="str">
        <f>IFERROR(_xlfn.XLOOKUP(LEFT(tb_lectura[[#This Row],[ID]],7),tb_Productos[ID PRODUCTO],tb_Productos[MARCA]),"")</f>
        <v/>
      </c>
      <c r="G8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9" s="10">
        <f>1</f>
        <v>1</v>
      </c>
    </row>
    <row r="90" spans="2:8" ht="16.5" x14ac:dyDescent="0.3">
      <c r="B90" s="11"/>
      <c r="C90" s="5" t="str">
        <f>IFERROR(_xlfn.XLOOKUP(LEFT(tb_lectura[[#This Row],[ID]],7),tb_Productos[ID PRODUCTO],tb_Productos[DESCRIPCION]),"")</f>
        <v/>
      </c>
      <c r="D90" s="15" t="str">
        <f>IFERROR(_xlfn.XLOOKUP(LEFT(tb_lectura[[#This Row],[ID]],7),tb_Productos[ID PRODUCTO],tb_Productos[precio unitario]),"")</f>
        <v/>
      </c>
      <c r="E90" s="10" t="str">
        <f>IFERROR(_xlfn.XLOOKUP(LEFT(tb_lectura[[#This Row],[ID]],7),tb_Productos[ID PRODUCTO],tb_Productos[Descuento]),"")</f>
        <v/>
      </c>
      <c r="F90" s="5" t="str">
        <f>IFERROR(_xlfn.XLOOKUP(LEFT(tb_lectura[[#This Row],[ID]],7),tb_Productos[ID PRODUCTO],tb_Productos[MARCA]),"")</f>
        <v/>
      </c>
      <c r="G9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0" s="10">
        <f>1</f>
        <v>1</v>
      </c>
    </row>
    <row r="91" spans="2:8" ht="16.5" x14ac:dyDescent="0.3">
      <c r="B91" s="11"/>
      <c r="C91" s="5" t="str">
        <f>IFERROR(_xlfn.XLOOKUP(LEFT(tb_lectura[[#This Row],[ID]],7),tb_Productos[ID PRODUCTO],tb_Productos[DESCRIPCION]),"")</f>
        <v/>
      </c>
      <c r="D91" s="15" t="str">
        <f>IFERROR(_xlfn.XLOOKUP(LEFT(tb_lectura[[#This Row],[ID]],7),tb_Productos[ID PRODUCTO],tb_Productos[precio unitario]),"")</f>
        <v/>
      </c>
      <c r="E91" s="10" t="str">
        <f>IFERROR(_xlfn.XLOOKUP(LEFT(tb_lectura[[#This Row],[ID]],7),tb_Productos[ID PRODUCTO],tb_Productos[Descuento]),"")</f>
        <v/>
      </c>
      <c r="F91" s="5" t="str">
        <f>IFERROR(_xlfn.XLOOKUP(LEFT(tb_lectura[[#This Row],[ID]],7),tb_Productos[ID PRODUCTO],tb_Productos[MARCA]),"")</f>
        <v/>
      </c>
      <c r="G9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1" s="10">
        <f>1</f>
        <v>1</v>
      </c>
    </row>
    <row r="92" spans="2:8" ht="16.5" x14ac:dyDescent="0.3">
      <c r="B92" s="11"/>
      <c r="C92" s="5" t="str">
        <f>IFERROR(_xlfn.XLOOKUP(LEFT(tb_lectura[[#This Row],[ID]],7),tb_Productos[ID PRODUCTO],tb_Productos[DESCRIPCION]),"")</f>
        <v/>
      </c>
      <c r="D92" s="15" t="str">
        <f>IFERROR(_xlfn.XLOOKUP(LEFT(tb_lectura[[#This Row],[ID]],7),tb_Productos[ID PRODUCTO],tb_Productos[precio unitario]),"")</f>
        <v/>
      </c>
      <c r="E92" s="10" t="str">
        <f>IFERROR(_xlfn.XLOOKUP(LEFT(tb_lectura[[#This Row],[ID]],7),tb_Productos[ID PRODUCTO],tb_Productos[Descuento]),"")</f>
        <v/>
      </c>
      <c r="F92" s="5" t="str">
        <f>IFERROR(_xlfn.XLOOKUP(LEFT(tb_lectura[[#This Row],[ID]],7),tb_Productos[ID PRODUCTO],tb_Productos[MARCA]),"")</f>
        <v/>
      </c>
      <c r="G9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2" s="10">
        <f>1</f>
        <v>1</v>
      </c>
    </row>
    <row r="93" spans="2:8" ht="16.5" x14ac:dyDescent="0.3">
      <c r="B93" s="11"/>
      <c r="C93" s="5" t="str">
        <f>IFERROR(_xlfn.XLOOKUP(LEFT(tb_lectura[[#This Row],[ID]],7),tb_Productos[ID PRODUCTO],tb_Productos[DESCRIPCION]),"")</f>
        <v/>
      </c>
      <c r="D93" s="15" t="str">
        <f>IFERROR(_xlfn.XLOOKUP(LEFT(tb_lectura[[#This Row],[ID]],7),tb_Productos[ID PRODUCTO],tb_Productos[precio unitario]),"")</f>
        <v/>
      </c>
      <c r="E93" s="10" t="str">
        <f>IFERROR(_xlfn.XLOOKUP(LEFT(tb_lectura[[#This Row],[ID]],7),tb_Productos[ID PRODUCTO],tb_Productos[Descuento]),"")</f>
        <v/>
      </c>
      <c r="F93" s="5" t="str">
        <f>IFERROR(_xlfn.XLOOKUP(LEFT(tb_lectura[[#This Row],[ID]],7),tb_Productos[ID PRODUCTO],tb_Productos[MARCA]),"")</f>
        <v/>
      </c>
      <c r="G9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3" s="10">
        <f>1</f>
        <v>1</v>
      </c>
    </row>
    <row r="94" spans="2:8" ht="16.5" x14ac:dyDescent="0.3">
      <c r="B94" s="11"/>
      <c r="C94" s="5" t="str">
        <f>IFERROR(_xlfn.XLOOKUP(LEFT(tb_lectura[[#This Row],[ID]],7),tb_Productos[ID PRODUCTO],tb_Productos[DESCRIPCION]),"")</f>
        <v/>
      </c>
      <c r="D94" s="15" t="str">
        <f>IFERROR(_xlfn.XLOOKUP(LEFT(tb_lectura[[#This Row],[ID]],7),tb_Productos[ID PRODUCTO],tb_Productos[precio unitario]),"")</f>
        <v/>
      </c>
      <c r="E94" s="10" t="str">
        <f>IFERROR(_xlfn.XLOOKUP(LEFT(tb_lectura[[#This Row],[ID]],7),tb_Productos[ID PRODUCTO],tb_Productos[Descuento]),"")</f>
        <v/>
      </c>
      <c r="F94" s="5" t="str">
        <f>IFERROR(_xlfn.XLOOKUP(LEFT(tb_lectura[[#This Row],[ID]],7),tb_Productos[ID PRODUCTO],tb_Productos[MARCA]),"")</f>
        <v/>
      </c>
      <c r="G9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4" s="10">
        <f>1</f>
        <v>1</v>
      </c>
    </row>
    <row r="95" spans="2:8" ht="16.5" x14ac:dyDescent="0.3">
      <c r="B95" s="11"/>
      <c r="C95" s="5" t="str">
        <f>IFERROR(_xlfn.XLOOKUP(LEFT(tb_lectura[[#This Row],[ID]],7),tb_Productos[ID PRODUCTO],tb_Productos[DESCRIPCION]),"")</f>
        <v/>
      </c>
      <c r="D95" s="15" t="str">
        <f>IFERROR(_xlfn.XLOOKUP(LEFT(tb_lectura[[#This Row],[ID]],7),tb_Productos[ID PRODUCTO],tb_Productos[precio unitario]),"")</f>
        <v/>
      </c>
      <c r="E95" s="10" t="str">
        <f>IFERROR(_xlfn.XLOOKUP(LEFT(tb_lectura[[#This Row],[ID]],7),tb_Productos[ID PRODUCTO],tb_Productos[Descuento]),"")</f>
        <v/>
      </c>
      <c r="F95" s="5" t="str">
        <f>IFERROR(_xlfn.XLOOKUP(LEFT(tb_lectura[[#This Row],[ID]],7),tb_Productos[ID PRODUCTO],tb_Productos[MARCA]),"")</f>
        <v/>
      </c>
      <c r="G9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5" s="10">
        <f>1</f>
        <v>1</v>
      </c>
    </row>
    <row r="96" spans="2:8" ht="16.5" x14ac:dyDescent="0.3">
      <c r="B96" s="11"/>
      <c r="C96" s="5" t="str">
        <f>IFERROR(_xlfn.XLOOKUP(LEFT(tb_lectura[[#This Row],[ID]],7),tb_Productos[ID PRODUCTO],tb_Productos[DESCRIPCION]),"")</f>
        <v/>
      </c>
      <c r="D96" s="15" t="str">
        <f>IFERROR(_xlfn.XLOOKUP(LEFT(tb_lectura[[#This Row],[ID]],7),tb_Productos[ID PRODUCTO],tb_Productos[precio unitario]),"")</f>
        <v/>
      </c>
      <c r="E96" s="10" t="str">
        <f>IFERROR(_xlfn.XLOOKUP(LEFT(tb_lectura[[#This Row],[ID]],7),tb_Productos[ID PRODUCTO],tb_Productos[Descuento]),"")</f>
        <v/>
      </c>
      <c r="F96" s="5" t="str">
        <f>IFERROR(_xlfn.XLOOKUP(LEFT(tb_lectura[[#This Row],[ID]],7),tb_Productos[ID PRODUCTO],tb_Productos[MARCA]),"")</f>
        <v/>
      </c>
      <c r="G9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6" s="10">
        <f>1</f>
        <v>1</v>
      </c>
    </row>
    <row r="97" spans="2:8" ht="16.5" x14ac:dyDescent="0.3">
      <c r="B97" s="11"/>
      <c r="C97" s="5" t="str">
        <f>IFERROR(_xlfn.XLOOKUP(LEFT(tb_lectura[[#This Row],[ID]],7),tb_Productos[ID PRODUCTO],tb_Productos[DESCRIPCION]),"")</f>
        <v/>
      </c>
      <c r="D97" s="15" t="str">
        <f>IFERROR(_xlfn.XLOOKUP(LEFT(tb_lectura[[#This Row],[ID]],7),tb_Productos[ID PRODUCTO],tb_Productos[precio unitario]),"")</f>
        <v/>
      </c>
      <c r="E97" s="10" t="str">
        <f>IFERROR(_xlfn.XLOOKUP(LEFT(tb_lectura[[#This Row],[ID]],7),tb_Productos[ID PRODUCTO],tb_Productos[Descuento]),"")</f>
        <v/>
      </c>
      <c r="F97" s="5" t="str">
        <f>IFERROR(_xlfn.XLOOKUP(LEFT(tb_lectura[[#This Row],[ID]],7),tb_Productos[ID PRODUCTO],tb_Productos[MARCA]),"")</f>
        <v/>
      </c>
      <c r="G9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7" s="10">
        <f>1</f>
        <v>1</v>
      </c>
    </row>
    <row r="98" spans="2:8" ht="16.5" x14ac:dyDescent="0.3">
      <c r="B98" s="11"/>
      <c r="C98" s="5" t="str">
        <f>IFERROR(_xlfn.XLOOKUP(LEFT(tb_lectura[[#This Row],[ID]],7),tb_Productos[ID PRODUCTO],tb_Productos[DESCRIPCION]),"")</f>
        <v/>
      </c>
      <c r="D98" s="15" t="str">
        <f>IFERROR(_xlfn.XLOOKUP(LEFT(tb_lectura[[#This Row],[ID]],7),tb_Productos[ID PRODUCTO],tb_Productos[precio unitario]),"")</f>
        <v/>
      </c>
      <c r="E98" s="10" t="str">
        <f>IFERROR(_xlfn.XLOOKUP(LEFT(tb_lectura[[#This Row],[ID]],7),tb_Productos[ID PRODUCTO],tb_Productos[Descuento]),"")</f>
        <v/>
      </c>
      <c r="F98" s="5" t="str">
        <f>IFERROR(_xlfn.XLOOKUP(LEFT(tb_lectura[[#This Row],[ID]],7),tb_Productos[ID PRODUCTO],tb_Productos[MARCA]),"")</f>
        <v/>
      </c>
      <c r="G9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8" s="10">
        <f>1</f>
        <v>1</v>
      </c>
    </row>
    <row r="99" spans="2:8" ht="16.5" x14ac:dyDescent="0.3">
      <c r="B99" s="11"/>
      <c r="C99" s="5" t="str">
        <f>IFERROR(_xlfn.XLOOKUP(LEFT(tb_lectura[[#This Row],[ID]],7),tb_Productos[ID PRODUCTO],tb_Productos[DESCRIPCION]),"")</f>
        <v/>
      </c>
      <c r="D99" s="15" t="str">
        <f>IFERROR(_xlfn.XLOOKUP(LEFT(tb_lectura[[#This Row],[ID]],7),tb_Productos[ID PRODUCTO],tb_Productos[precio unitario]),"")</f>
        <v/>
      </c>
      <c r="E99" s="10" t="str">
        <f>IFERROR(_xlfn.XLOOKUP(LEFT(tb_lectura[[#This Row],[ID]],7),tb_Productos[ID PRODUCTO],tb_Productos[Descuento]),"")</f>
        <v/>
      </c>
      <c r="F99" s="5" t="str">
        <f>IFERROR(_xlfn.XLOOKUP(LEFT(tb_lectura[[#This Row],[ID]],7),tb_Productos[ID PRODUCTO],tb_Productos[MARCA]),"")</f>
        <v/>
      </c>
      <c r="G9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9" s="10">
        <f>1</f>
        <v>1</v>
      </c>
    </row>
    <row r="100" spans="2:8" ht="16.5" x14ac:dyDescent="0.3">
      <c r="B100" s="11"/>
      <c r="C100" s="5" t="str">
        <f>IFERROR(_xlfn.XLOOKUP(LEFT(tb_lectura[[#This Row],[ID]],7),tb_Productos[ID PRODUCTO],tb_Productos[DESCRIPCION]),"")</f>
        <v/>
      </c>
      <c r="D100" s="15" t="str">
        <f>IFERROR(_xlfn.XLOOKUP(LEFT(tb_lectura[[#This Row],[ID]],7),tb_Productos[ID PRODUCTO],tb_Productos[precio unitario]),"")</f>
        <v/>
      </c>
      <c r="E100" s="10" t="str">
        <f>IFERROR(_xlfn.XLOOKUP(LEFT(tb_lectura[[#This Row],[ID]],7),tb_Productos[ID PRODUCTO],tb_Productos[Descuento]),"")</f>
        <v/>
      </c>
      <c r="F100" s="5" t="str">
        <f>IFERROR(_xlfn.XLOOKUP(LEFT(tb_lectura[[#This Row],[ID]],7),tb_Productos[ID PRODUCTO],tb_Productos[MARCA]),"")</f>
        <v/>
      </c>
      <c r="G10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0" s="10">
        <f>1</f>
        <v>1</v>
      </c>
    </row>
    <row r="101" spans="2:8" ht="16.5" x14ac:dyDescent="0.3">
      <c r="B101" s="11"/>
      <c r="C101" s="5" t="str">
        <f>IFERROR(_xlfn.XLOOKUP(LEFT(tb_lectura[[#This Row],[ID]],7),tb_Productos[ID PRODUCTO],tb_Productos[DESCRIPCION]),"")</f>
        <v/>
      </c>
      <c r="D101" s="15" t="str">
        <f>IFERROR(_xlfn.XLOOKUP(LEFT(tb_lectura[[#This Row],[ID]],7),tb_Productos[ID PRODUCTO],tb_Productos[precio unitario]),"")</f>
        <v/>
      </c>
      <c r="E101" s="10" t="str">
        <f>IFERROR(_xlfn.XLOOKUP(LEFT(tb_lectura[[#This Row],[ID]],7),tb_Productos[ID PRODUCTO],tb_Productos[Descuento]),"")</f>
        <v/>
      </c>
      <c r="F101" s="5" t="str">
        <f>IFERROR(_xlfn.XLOOKUP(LEFT(tb_lectura[[#This Row],[ID]],7),tb_Productos[ID PRODUCTO],tb_Productos[MARCA]),"")</f>
        <v/>
      </c>
      <c r="G10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1" s="10">
        <f>1</f>
        <v>1</v>
      </c>
    </row>
    <row r="102" spans="2:8" ht="16.5" x14ac:dyDescent="0.3">
      <c r="B102" s="11"/>
      <c r="C102" s="5" t="str">
        <f>IFERROR(_xlfn.XLOOKUP(LEFT(tb_lectura[[#This Row],[ID]],7),tb_Productos[ID PRODUCTO],tb_Productos[DESCRIPCION]),"")</f>
        <v/>
      </c>
      <c r="D102" s="15" t="str">
        <f>IFERROR(_xlfn.XLOOKUP(LEFT(tb_lectura[[#This Row],[ID]],7),tb_Productos[ID PRODUCTO],tb_Productos[precio unitario]),"")</f>
        <v/>
      </c>
      <c r="E102" s="10" t="str">
        <f>IFERROR(_xlfn.XLOOKUP(LEFT(tb_lectura[[#This Row],[ID]],7),tb_Productos[ID PRODUCTO],tb_Productos[Descuento]),"")</f>
        <v/>
      </c>
      <c r="F102" s="5" t="str">
        <f>IFERROR(_xlfn.XLOOKUP(LEFT(tb_lectura[[#This Row],[ID]],7),tb_Productos[ID PRODUCTO],tb_Productos[MARCA]),"")</f>
        <v/>
      </c>
      <c r="G10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2" s="10">
        <f>1</f>
        <v>1</v>
      </c>
    </row>
    <row r="103" spans="2:8" ht="16.5" x14ac:dyDescent="0.3">
      <c r="B103" s="11"/>
      <c r="C103" s="5" t="str">
        <f>IFERROR(_xlfn.XLOOKUP(LEFT(tb_lectura[[#This Row],[ID]],7),tb_Productos[ID PRODUCTO],tb_Productos[DESCRIPCION]),"")</f>
        <v/>
      </c>
      <c r="D103" s="15" t="str">
        <f>IFERROR(_xlfn.XLOOKUP(LEFT(tb_lectura[[#This Row],[ID]],7),tb_Productos[ID PRODUCTO],tb_Productos[precio unitario]),"")</f>
        <v/>
      </c>
      <c r="E103" s="10" t="str">
        <f>IFERROR(_xlfn.XLOOKUP(LEFT(tb_lectura[[#This Row],[ID]],7),tb_Productos[ID PRODUCTO],tb_Productos[Descuento]),"")</f>
        <v/>
      </c>
      <c r="F103" s="5" t="str">
        <f>IFERROR(_xlfn.XLOOKUP(LEFT(tb_lectura[[#This Row],[ID]],7),tb_Productos[ID PRODUCTO],tb_Productos[MARCA]),"")</f>
        <v/>
      </c>
      <c r="G10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3" s="10">
        <f>1</f>
        <v>1</v>
      </c>
    </row>
    <row r="104" spans="2:8" ht="16.5" x14ac:dyDescent="0.3">
      <c r="B104" s="11"/>
      <c r="C104" s="5" t="str">
        <f>IFERROR(_xlfn.XLOOKUP(LEFT(tb_lectura[[#This Row],[ID]],7),tb_Productos[ID PRODUCTO],tb_Productos[DESCRIPCION]),"")</f>
        <v/>
      </c>
      <c r="D104" s="15" t="str">
        <f>IFERROR(_xlfn.XLOOKUP(LEFT(tb_lectura[[#This Row],[ID]],7),tb_Productos[ID PRODUCTO],tb_Productos[precio unitario]),"")</f>
        <v/>
      </c>
      <c r="E104" s="10" t="str">
        <f>IFERROR(_xlfn.XLOOKUP(LEFT(tb_lectura[[#This Row],[ID]],7),tb_Productos[ID PRODUCTO],tb_Productos[Descuento]),"")</f>
        <v/>
      </c>
      <c r="F104" s="5" t="str">
        <f>IFERROR(_xlfn.XLOOKUP(LEFT(tb_lectura[[#This Row],[ID]],7),tb_Productos[ID PRODUCTO],tb_Productos[MARCA]),"")</f>
        <v/>
      </c>
      <c r="G10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4" s="10">
        <f>1</f>
        <v>1</v>
      </c>
    </row>
    <row r="105" spans="2:8" ht="16.5" x14ac:dyDescent="0.3">
      <c r="B105" s="11"/>
      <c r="C105" s="5" t="str">
        <f>IFERROR(_xlfn.XLOOKUP(LEFT(tb_lectura[[#This Row],[ID]],7),tb_Productos[ID PRODUCTO],tb_Productos[DESCRIPCION]),"")</f>
        <v/>
      </c>
      <c r="D105" s="15" t="str">
        <f>IFERROR(_xlfn.XLOOKUP(LEFT(tb_lectura[[#This Row],[ID]],7),tb_Productos[ID PRODUCTO],tb_Productos[precio unitario]),"")</f>
        <v/>
      </c>
      <c r="E105" s="10" t="str">
        <f>IFERROR(_xlfn.XLOOKUP(LEFT(tb_lectura[[#This Row],[ID]],7),tb_Productos[ID PRODUCTO],tb_Productos[Descuento]),"")</f>
        <v/>
      </c>
      <c r="F105" s="5" t="str">
        <f>IFERROR(_xlfn.XLOOKUP(LEFT(tb_lectura[[#This Row],[ID]],7),tb_Productos[ID PRODUCTO],tb_Productos[MARCA]),"")</f>
        <v/>
      </c>
      <c r="G10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5" s="10">
        <f>1</f>
        <v>1</v>
      </c>
    </row>
    <row r="106" spans="2:8" ht="16.5" x14ac:dyDescent="0.3">
      <c r="B106" s="11"/>
      <c r="C106" s="5" t="str">
        <f>IFERROR(_xlfn.XLOOKUP(LEFT(tb_lectura[[#This Row],[ID]],7),tb_Productos[ID PRODUCTO],tb_Productos[DESCRIPCION]),"")</f>
        <v/>
      </c>
      <c r="D106" s="15" t="str">
        <f>IFERROR(_xlfn.XLOOKUP(LEFT(tb_lectura[[#This Row],[ID]],7),tb_Productos[ID PRODUCTO],tb_Productos[precio unitario]),"")</f>
        <v/>
      </c>
      <c r="E106" s="10" t="str">
        <f>IFERROR(_xlfn.XLOOKUP(LEFT(tb_lectura[[#This Row],[ID]],7),tb_Productos[ID PRODUCTO],tb_Productos[Descuento]),"")</f>
        <v/>
      </c>
      <c r="F106" s="5" t="str">
        <f>IFERROR(_xlfn.XLOOKUP(LEFT(tb_lectura[[#This Row],[ID]],7),tb_Productos[ID PRODUCTO],tb_Productos[MARCA]),"")</f>
        <v/>
      </c>
      <c r="G10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6" s="10">
        <f>1</f>
        <v>1</v>
      </c>
    </row>
    <row r="107" spans="2:8" ht="16.5" x14ac:dyDescent="0.3">
      <c r="B107" s="11"/>
      <c r="C107" s="5" t="str">
        <f>IFERROR(_xlfn.XLOOKUP(LEFT(tb_lectura[[#This Row],[ID]],7),tb_Productos[ID PRODUCTO],tb_Productos[DESCRIPCION]),"")</f>
        <v/>
      </c>
      <c r="D107" s="15" t="str">
        <f>IFERROR(_xlfn.XLOOKUP(LEFT(tb_lectura[[#This Row],[ID]],7),tb_Productos[ID PRODUCTO],tb_Productos[precio unitario]),"")</f>
        <v/>
      </c>
      <c r="E107" s="10" t="str">
        <f>IFERROR(_xlfn.XLOOKUP(LEFT(tb_lectura[[#This Row],[ID]],7),tb_Productos[ID PRODUCTO],tb_Productos[Descuento]),"")</f>
        <v/>
      </c>
      <c r="F107" s="5" t="str">
        <f>IFERROR(_xlfn.XLOOKUP(LEFT(tb_lectura[[#This Row],[ID]],7),tb_Productos[ID PRODUCTO],tb_Productos[MARCA]),"")</f>
        <v/>
      </c>
      <c r="G10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7" s="10">
        <f>1</f>
        <v>1</v>
      </c>
    </row>
    <row r="108" spans="2:8" ht="16.5" x14ac:dyDescent="0.3">
      <c r="B108" s="11"/>
      <c r="C108" s="5" t="str">
        <f>IFERROR(_xlfn.XLOOKUP(LEFT(tb_lectura[[#This Row],[ID]],7),tb_Productos[ID PRODUCTO],tb_Productos[DESCRIPCION]),"")</f>
        <v/>
      </c>
      <c r="D108" s="15" t="str">
        <f>IFERROR(_xlfn.XLOOKUP(LEFT(tb_lectura[[#This Row],[ID]],7),tb_Productos[ID PRODUCTO],tb_Productos[precio unitario]),"")</f>
        <v/>
      </c>
      <c r="E108" s="10" t="str">
        <f>IFERROR(_xlfn.XLOOKUP(LEFT(tb_lectura[[#This Row],[ID]],7),tb_Productos[ID PRODUCTO],tb_Productos[Descuento]),"")</f>
        <v/>
      </c>
      <c r="F108" s="5" t="str">
        <f>IFERROR(_xlfn.XLOOKUP(LEFT(tb_lectura[[#This Row],[ID]],7),tb_Productos[ID PRODUCTO],tb_Productos[MARCA]),"")</f>
        <v/>
      </c>
      <c r="G10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8" s="10">
        <f>1</f>
        <v>1</v>
      </c>
    </row>
    <row r="109" spans="2:8" ht="16.5" x14ac:dyDescent="0.3">
      <c r="B109" s="11"/>
      <c r="C109" s="5" t="str">
        <f>IFERROR(_xlfn.XLOOKUP(LEFT(tb_lectura[[#This Row],[ID]],7),tb_Productos[ID PRODUCTO],tb_Productos[DESCRIPCION]),"")</f>
        <v/>
      </c>
      <c r="D109" s="15" t="str">
        <f>IFERROR(_xlfn.XLOOKUP(LEFT(tb_lectura[[#This Row],[ID]],7),tb_Productos[ID PRODUCTO],tb_Productos[precio unitario]),"")</f>
        <v/>
      </c>
      <c r="E109" s="10" t="str">
        <f>IFERROR(_xlfn.XLOOKUP(LEFT(tb_lectura[[#This Row],[ID]],7),tb_Productos[ID PRODUCTO],tb_Productos[Descuento]),"")</f>
        <v/>
      </c>
      <c r="F109" s="5" t="str">
        <f>IFERROR(_xlfn.XLOOKUP(LEFT(tb_lectura[[#This Row],[ID]],7),tb_Productos[ID PRODUCTO],tb_Productos[MARCA]),"")</f>
        <v/>
      </c>
      <c r="G10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9" s="10">
        <f>1</f>
        <v>1</v>
      </c>
    </row>
    <row r="110" spans="2:8" ht="16.5" x14ac:dyDescent="0.3">
      <c r="B110" s="11"/>
      <c r="C110" s="5" t="str">
        <f>IFERROR(_xlfn.XLOOKUP(LEFT(tb_lectura[[#This Row],[ID]],7),tb_Productos[ID PRODUCTO],tb_Productos[DESCRIPCION]),"")</f>
        <v/>
      </c>
      <c r="D110" s="15" t="str">
        <f>IFERROR(_xlfn.XLOOKUP(LEFT(tb_lectura[[#This Row],[ID]],7),tb_Productos[ID PRODUCTO],tb_Productos[precio unitario]),"")</f>
        <v/>
      </c>
      <c r="E110" s="10" t="str">
        <f>IFERROR(_xlfn.XLOOKUP(LEFT(tb_lectura[[#This Row],[ID]],7),tb_Productos[ID PRODUCTO],tb_Productos[Descuento]),"")</f>
        <v/>
      </c>
      <c r="F110" s="5" t="str">
        <f>IFERROR(_xlfn.XLOOKUP(LEFT(tb_lectura[[#This Row],[ID]],7),tb_Productos[ID PRODUCTO],tb_Productos[MARCA]),"")</f>
        <v/>
      </c>
      <c r="G11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0" s="10">
        <f>1</f>
        <v>1</v>
      </c>
    </row>
    <row r="111" spans="2:8" ht="16.5" x14ac:dyDescent="0.3">
      <c r="B111" s="11"/>
      <c r="C111" s="5" t="str">
        <f>IFERROR(_xlfn.XLOOKUP(LEFT(tb_lectura[[#This Row],[ID]],7),tb_Productos[ID PRODUCTO],tb_Productos[DESCRIPCION]),"")</f>
        <v/>
      </c>
      <c r="D111" s="15" t="str">
        <f>IFERROR(_xlfn.XLOOKUP(LEFT(tb_lectura[[#This Row],[ID]],7),tb_Productos[ID PRODUCTO],tb_Productos[precio unitario]),"")</f>
        <v/>
      </c>
      <c r="E111" s="10" t="str">
        <f>IFERROR(_xlfn.XLOOKUP(LEFT(tb_lectura[[#This Row],[ID]],7),tb_Productos[ID PRODUCTO],tb_Productos[Descuento]),"")</f>
        <v/>
      </c>
      <c r="F111" s="5" t="str">
        <f>IFERROR(_xlfn.XLOOKUP(LEFT(tb_lectura[[#This Row],[ID]],7),tb_Productos[ID PRODUCTO],tb_Productos[MARCA]),"")</f>
        <v/>
      </c>
      <c r="G11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1" s="10">
        <f>1</f>
        <v>1</v>
      </c>
    </row>
    <row r="112" spans="2:8" ht="16.5" x14ac:dyDescent="0.3">
      <c r="B112" s="11"/>
      <c r="C112" s="5" t="str">
        <f>IFERROR(_xlfn.XLOOKUP(LEFT(tb_lectura[[#This Row],[ID]],7),tb_Productos[ID PRODUCTO],tb_Productos[DESCRIPCION]),"")</f>
        <v/>
      </c>
      <c r="D112" s="15" t="str">
        <f>IFERROR(_xlfn.XLOOKUP(LEFT(tb_lectura[[#This Row],[ID]],7),tb_Productos[ID PRODUCTO],tb_Productos[precio unitario]),"")</f>
        <v/>
      </c>
      <c r="E112" s="10" t="str">
        <f>IFERROR(_xlfn.XLOOKUP(LEFT(tb_lectura[[#This Row],[ID]],7),tb_Productos[ID PRODUCTO],tb_Productos[Descuento]),"")</f>
        <v/>
      </c>
      <c r="F112" s="5" t="str">
        <f>IFERROR(_xlfn.XLOOKUP(LEFT(tb_lectura[[#This Row],[ID]],7),tb_Productos[ID PRODUCTO],tb_Productos[MARCA]),"")</f>
        <v/>
      </c>
      <c r="G11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2" s="10">
        <f>1</f>
        <v>1</v>
      </c>
    </row>
    <row r="113" spans="2:8" ht="16.5" x14ac:dyDescent="0.3">
      <c r="B113" s="11"/>
      <c r="C113" s="5" t="str">
        <f>IFERROR(_xlfn.XLOOKUP(LEFT(tb_lectura[[#This Row],[ID]],7),tb_Productos[ID PRODUCTO],tb_Productos[DESCRIPCION]),"")</f>
        <v/>
      </c>
      <c r="D113" s="15" t="str">
        <f>IFERROR(_xlfn.XLOOKUP(LEFT(tb_lectura[[#This Row],[ID]],7),tb_Productos[ID PRODUCTO],tb_Productos[precio unitario]),"")</f>
        <v/>
      </c>
      <c r="E113" s="10" t="str">
        <f>IFERROR(_xlfn.XLOOKUP(LEFT(tb_lectura[[#This Row],[ID]],7),tb_Productos[ID PRODUCTO],tb_Productos[Descuento]),"")</f>
        <v/>
      </c>
      <c r="F113" s="5" t="str">
        <f>IFERROR(_xlfn.XLOOKUP(LEFT(tb_lectura[[#This Row],[ID]],7),tb_Productos[ID PRODUCTO],tb_Productos[MARCA]),"")</f>
        <v/>
      </c>
      <c r="G11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3" s="10">
        <f>1</f>
        <v>1</v>
      </c>
    </row>
    <row r="114" spans="2:8" ht="16.5" x14ac:dyDescent="0.3">
      <c r="B114" s="11"/>
      <c r="C114" s="5" t="str">
        <f>IFERROR(_xlfn.XLOOKUP(LEFT(tb_lectura[[#This Row],[ID]],7),tb_Productos[ID PRODUCTO],tb_Productos[DESCRIPCION]),"")</f>
        <v/>
      </c>
      <c r="D114" s="15" t="str">
        <f>IFERROR(_xlfn.XLOOKUP(LEFT(tb_lectura[[#This Row],[ID]],7),tb_Productos[ID PRODUCTO],tb_Productos[precio unitario]),"")</f>
        <v/>
      </c>
      <c r="E114" s="10" t="str">
        <f>IFERROR(_xlfn.XLOOKUP(LEFT(tb_lectura[[#This Row],[ID]],7),tb_Productos[ID PRODUCTO],tb_Productos[Descuento]),"")</f>
        <v/>
      </c>
      <c r="F114" s="5" t="str">
        <f>IFERROR(_xlfn.XLOOKUP(LEFT(tb_lectura[[#This Row],[ID]],7),tb_Productos[ID PRODUCTO],tb_Productos[MARCA]),"")</f>
        <v/>
      </c>
      <c r="G11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4" s="10">
        <f>1</f>
        <v>1</v>
      </c>
    </row>
    <row r="115" spans="2:8" ht="16.5" x14ac:dyDescent="0.3">
      <c r="B115" s="11"/>
      <c r="C115" s="5" t="str">
        <f>IFERROR(_xlfn.XLOOKUP(LEFT(tb_lectura[[#This Row],[ID]],7),tb_Productos[ID PRODUCTO],tb_Productos[DESCRIPCION]),"")</f>
        <v/>
      </c>
      <c r="D115" s="15" t="str">
        <f>IFERROR(_xlfn.XLOOKUP(LEFT(tb_lectura[[#This Row],[ID]],7),tb_Productos[ID PRODUCTO],tb_Productos[precio unitario]),"")</f>
        <v/>
      </c>
      <c r="E115" s="10" t="str">
        <f>IFERROR(_xlfn.XLOOKUP(LEFT(tb_lectura[[#This Row],[ID]],7),tb_Productos[ID PRODUCTO],tb_Productos[Descuento]),"")</f>
        <v/>
      </c>
      <c r="F115" s="5" t="str">
        <f>IFERROR(_xlfn.XLOOKUP(LEFT(tb_lectura[[#This Row],[ID]],7),tb_Productos[ID PRODUCTO],tb_Productos[MARCA]),"")</f>
        <v/>
      </c>
      <c r="G11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5" s="10">
        <f>1</f>
        <v>1</v>
      </c>
    </row>
    <row r="116" spans="2:8" ht="16.5" x14ac:dyDescent="0.3">
      <c r="B116" s="11"/>
      <c r="C116" s="5" t="str">
        <f>IFERROR(_xlfn.XLOOKUP(LEFT(tb_lectura[[#This Row],[ID]],7),tb_Productos[ID PRODUCTO],tb_Productos[DESCRIPCION]),"")</f>
        <v/>
      </c>
      <c r="D116" s="15" t="str">
        <f>IFERROR(_xlfn.XLOOKUP(LEFT(tb_lectura[[#This Row],[ID]],7),tb_Productos[ID PRODUCTO],tb_Productos[precio unitario]),"")</f>
        <v/>
      </c>
      <c r="E116" s="10" t="str">
        <f>IFERROR(_xlfn.XLOOKUP(LEFT(tb_lectura[[#This Row],[ID]],7),tb_Productos[ID PRODUCTO],tb_Productos[Descuento]),"")</f>
        <v/>
      </c>
      <c r="F116" s="5" t="str">
        <f>IFERROR(_xlfn.XLOOKUP(LEFT(tb_lectura[[#This Row],[ID]],7),tb_Productos[ID PRODUCTO],tb_Productos[MARCA]),"")</f>
        <v/>
      </c>
      <c r="G11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6" s="10">
        <f>1</f>
        <v>1</v>
      </c>
    </row>
    <row r="117" spans="2:8" ht="16.5" x14ac:dyDescent="0.3">
      <c r="B117" s="11"/>
      <c r="C117" s="5" t="str">
        <f>IFERROR(_xlfn.XLOOKUP(LEFT(tb_lectura[[#This Row],[ID]],7),tb_Productos[ID PRODUCTO],tb_Productos[DESCRIPCION]),"")</f>
        <v/>
      </c>
      <c r="D117" s="15" t="str">
        <f>IFERROR(_xlfn.XLOOKUP(LEFT(tb_lectura[[#This Row],[ID]],7),tb_Productos[ID PRODUCTO],tb_Productos[precio unitario]),"")</f>
        <v/>
      </c>
      <c r="E117" s="10" t="str">
        <f>IFERROR(_xlfn.XLOOKUP(LEFT(tb_lectura[[#This Row],[ID]],7),tb_Productos[ID PRODUCTO],tb_Productos[Descuento]),"")</f>
        <v/>
      </c>
      <c r="F117" s="5" t="str">
        <f>IFERROR(_xlfn.XLOOKUP(LEFT(tb_lectura[[#This Row],[ID]],7),tb_Productos[ID PRODUCTO],tb_Productos[MARCA]),"")</f>
        <v/>
      </c>
      <c r="G11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7" s="10">
        <f>1</f>
        <v>1</v>
      </c>
    </row>
    <row r="118" spans="2:8" ht="16.5" x14ac:dyDescent="0.3">
      <c r="B118" s="11"/>
      <c r="C118" s="5" t="str">
        <f>IFERROR(_xlfn.XLOOKUP(LEFT(tb_lectura[[#This Row],[ID]],7),tb_Productos[ID PRODUCTO],tb_Productos[DESCRIPCION]),"")</f>
        <v/>
      </c>
      <c r="D118" s="15" t="str">
        <f>IFERROR(_xlfn.XLOOKUP(LEFT(tb_lectura[[#This Row],[ID]],7),tb_Productos[ID PRODUCTO],tb_Productos[precio unitario]),"")</f>
        <v/>
      </c>
      <c r="E118" s="10" t="str">
        <f>IFERROR(_xlfn.XLOOKUP(LEFT(tb_lectura[[#This Row],[ID]],7),tb_Productos[ID PRODUCTO],tb_Productos[Descuento]),"")</f>
        <v/>
      </c>
      <c r="F118" s="5" t="str">
        <f>IFERROR(_xlfn.XLOOKUP(LEFT(tb_lectura[[#This Row],[ID]],7),tb_Productos[ID PRODUCTO],tb_Productos[MARCA]),"")</f>
        <v/>
      </c>
      <c r="G11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8" s="10">
        <f>1</f>
        <v>1</v>
      </c>
    </row>
    <row r="119" spans="2:8" ht="16.5" x14ac:dyDescent="0.3">
      <c r="B119" s="11"/>
      <c r="C119" s="5" t="str">
        <f>IFERROR(_xlfn.XLOOKUP(LEFT(tb_lectura[[#This Row],[ID]],7),tb_Productos[ID PRODUCTO],tb_Productos[DESCRIPCION]),"")</f>
        <v/>
      </c>
      <c r="D119" s="15" t="str">
        <f>IFERROR(_xlfn.XLOOKUP(LEFT(tb_lectura[[#This Row],[ID]],7),tb_Productos[ID PRODUCTO],tb_Productos[precio unitario]),"")</f>
        <v/>
      </c>
      <c r="E119" s="10" t="str">
        <f>IFERROR(_xlfn.XLOOKUP(LEFT(tb_lectura[[#This Row],[ID]],7),tb_Productos[ID PRODUCTO],tb_Productos[Descuento]),"")</f>
        <v/>
      </c>
      <c r="F119" s="5" t="str">
        <f>IFERROR(_xlfn.XLOOKUP(LEFT(tb_lectura[[#This Row],[ID]],7),tb_Productos[ID PRODUCTO],tb_Productos[MARCA]),"")</f>
        <v/>
      </c>
      <c r="G11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9" s="10">
        <f>1</f>
        <v>1</v>
      </c>
    </row>
    <row r="120" spans="2:8" ht="16.5" x14ac:dyDescent="0.3">
      <c r="B120" s="11"/>
      <c r="C120" s="5" t="str">
        <f>IFERROR(_xlfn.XLOOKUP(LEFT(tb_lectura[[#This Row],[ID]],7),tb_Productos[ID PRODUCTO],tb_Productos[DESCRIPCION]),"")</f>
        <v/>
      </c>
      <c r="D120" s="15" t="str">
        <f>IFERROR(_xlfn.XLOOKUP(LEFT(tb_lectura[[#This Row],[ID]],7),tb_Productos[ID PRODUCTO],tb_Productos[precio unitario]),"")</f>
        <v/>
      </c>
      <c r="E120" s="10" t="str">
        <f>IFERROR(_xlfn.XLOOKUP(LEFT(tb_lectura[[#This Row],[ID]],7),tb_Productos[ID PRODUCTO],tb_Productos[Descuento]),"")</f>
        <v/>
      </c>
      <c r="F120" s="5" t="str">
        <f>IFERROR(_xlfn.XLOOKUP(LEFT(tb_lectura[[#This Row],[ID]],7),tb_Productos[ID PRODUCTO],tb_Productos[MARCA]),"")</f>
        <v/>
      </c>
      <c r="G12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0" s="10">
        <f>1</f>
        <v>1</v>
      </c>
    </row>
    <row r="121" spans="2:8" ht="16.5" x14ac:dyDescent="0.3">
      <c r="B121" s="11"/>
      <c r="C121" s="5" t="str">
        <f>IFERROR(_xlfn.XLOOKUP(LEFT(tb_lectura[[#This Row],[ID]],7),tb_Productos[ID PRODUCTO],tb_Productos[DESCRIPCION]),"")</f>
        <v/>
      </c>
      <c r="D121" s="15" t="str">
        <f>IFERROR(_xlfn.XLOOKUP(LEFT(tb_lectura[[#This Row],[ID]],7),tb_Productos[ID PRODUCTO],tb_Productos[precio unitario]),"")</f>
        <v/>
      </c>
      <c r="E121" s="10" t="str">
        <f>IFERROR(_xlfn.XLOOKUP(LEFT(tb_lectura[[#This Row],[ID]],7),tb_Productos[ID PRODUCTO],tb_Productos[Descuento]),"")</f>
        <v/>
      </c>
      <c r="F121" s="5" t="str">
        <f>IFERROR(_xlfn.XLOOKUP(LEFT(tb_lectura[[#This Row],[ID]],7),tb_Productos[ID PRODUCTO],tb_Productos[MARCA]),"")</f>
        <v/>
      </c>
      <c r="G12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1" s="10">
        <f>1</f>
        <v>1</v>
      </c>
    </row>
    <row r="122" spans="2:8" ht="16.5" x14ac:dyDescent="0.3">
      <c r="B122" s="11"/>
      <c r="C122" s="5" t="str">
        <f>IFERROR(_xlfn.XLOOKUP(LEFT(tb_lectura[[#This Row],[ID]],7),tb_Productos[ID PRODUCTO],tb_Productos[DESCRIPCION]),"")</f>
        <v/>
      </c>
      <c r="D122" s="15" t="str">
        <f>IFERROR(_xlfn.XLOOKUP(LEFT(tb_lectura[[#This Row],[ID]],7),tb_Productos[ID PRODUCTO],tb_Productos[precio unitario]),"")</f>
        <v/>
      </c>
      <c r="E122" s="10" t="str">
        <f>IFERROR(_xlfn.XLOOKUP(LEFT(tb_lectura[[#This Row],[ID]],7),tb_Productos[ID PRODUCTO],tb_Productos[Descuento]),"")</f>
        <v/>
      </c>
      <c r="F122" s="5" t="str">
        <f>IFERROR(_xlfn.XLOOKUP(LEFT(tb_lectura[[#This Row],[ID]],7),tb_Productos[ID PRODUCTO],tb_Productos[MARCA]),"")</f>
        <v/>
      </c>
      <c r="G12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2" s="10">
        <f>1</f>
        <v>1</v>
      </c>
    </row>
    <row r="123" spans="2:8" ht="16.5" x14ac:dyDescent="0.3">
      <c r="B123" s="11"/>
      <c r="C123" s="5" t="str">
        <f>IFERROR(_xlfn.XLOOKUP(LEFT(tb_lectura[[#This Row],[ID]],7),tb_Productos[ID PRODUCTO],tb_Productos[DESCRIPCION]),"")</f>
        <v/>
      </c>
      <c r="D123" s="15" t="str">
        <f>IFERROR(_xlfn.XLOOKUP(LEFT(tb_lectura[[#This Row],[ID]],7),tb_Productos[ID PRODUCTO],tb_Productos[precio unitario]),"")</f>
        <v/>
      </c>
      <c r="E123" s="10" t="str">
        <f>IFERROR(_xlfn.XLOOKUP(LEFT(tb_lectura[[#This Row],[ID]],7),tb_Productos[ID PRODUCTO],tb_Productos[Descuento]),"")</f>
        <v/>
      </c>
      <c r="F123" s="5" t="str">
        <f>IFERROR(_xlfn.XLOOKUP(LEFT(tb_lectura[[#This Row],[ID]],7),tb_Productos[ID PRODUCTO],tb_Productos[MARCA]),"")</f>
        <v/>
      </c>
      <c r="G12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3" s="10">
        <f>1</f>
        <v>1</v>
      </c>
    </row>
    <row r="124" spans="2:8" ht="16.5" x14ac:dyDescent="0.3">
      <c r="B124" s="11"/>
      <c r="C124" s="5" t="str">
        <f>IFERROR(_xlfn.XLOOKUP(LEFT(tb_lectura[[#This Row],[ID]],7),tb_Productos[ID PRODUCTO],tb_Productos[DESCRIPCION]),"")</f>
        <v/>
      </c>
      <c r="D124" s="15" t="str">
        <f>IFERROR(_xlfn.XLOOKUP(LEFT(tb_lectura[[#This Row],[ID]],7),tb_Productos[ID PRODUCTO],tb_Productos[precio unitario]),"")</f>
        <v/>
      </c>
      <c r="E124" s="10" t="str">
        <f>IFERROR(_xlfn.XLOOKUP(LEFT(tb_lectura[[#This Row],[ID]],7),tb_Productos[ID PRODUCTO],tb_Productos[Descuento]),"")</f>
        <v/>
      </c>
      <c r="F124" s="5" t="str">
        <f>IFERROR(_xlfn.XLOOKUP(LEFT(tb_lectura[[#This Row],[ID]],7),tb_Productos[ID PRODUCTO],tb_Productos[MARCA]),"")</f>
        <v/>
      </c>
      <c r="G12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4" s="10">
        <f>1</f>
        <v>1</v>
      </c>
    </row>
    <row r="125" spans="2:8" ht="16.5" x14ac:dyDescent="0.3">
      <c r="B125" s="11"/>
      <c r="C125" s="5" t="str">
        <f>IFERROR(_xlfn.XLOOKUP(LEFT(tb_lectura[[#This Row],[ID]],7),tb_Productos[ID PRODUCTO],tb_Productos[DESCRIPCION]),"")</f>
        <v/>
      </c>
      <c r="D125" s="15" t="str">
        <f>IFERROR(_xlfn.XLOOKUP(LEFT(tb_lectura[[#This Row],[ID]],7),tb_Productos[ID PRODUCTO],tb_Productos[precio unitario]),"")</f>
        <v/>
      </c>
      <c r="E125" s="10" t="str">
        <f>IFERROR(_xlfn.XLOOKUP(LEFT(tb_lectura[[#This Row],[ID]],7),tb_Productos[ID PRODUCTO],tb_Productos[Descuento]),"")</f>
        <v/>
      </c>
      <c r="F125" s="5" t="str">
        <f>IFERROR(_xlfn.XLOOKUP(LEFT(tb_lectura[[#This Row],[ID]],7),tb_Productos[ID PRODUCTO],tb_Productos[MARCA]),"")</f>
        <v/>
      </c>
      <c r="G12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5" s="10">
        <f>1</f>
        <v>1</v>
      </c>
    </row>
    <row r="126" spans="2:8" ht="16.5" x14ac:dyDescent="0.3">
      <c r="B126" s="11"/>
      <c r="C126" s="5" t="str">
        <f>IFERROR(_xlfn.XLOOKUP(LEFT(tb_lectura[[#This Row],[ID]],7),tb_Productos[ID PRODUCTO],tb_Productos[DESCRIPCION]),"")</f>
        <v/>
      </c>
      <c r="D126" s="15" t="str">
        <f>IFERROR(_xlfn.XLOOKUP(LEFT(tb_lectura[[#This Row],[ID]],7),tb_Productos[ID PRODUCTO],tb_Productos[precio unitario]),"")</f>
        <v/>
      </c>
      <c r="E126" s="10" t="str">
        <f>IFERROR(_xlfn.XLOOKUP(LEFT(tb_lectura[[#This Row],[ID]],7),tb_Productos[ID PRODUCTO],tb_Productos[Descuento]),"")</f>
        <v/>
      </c>
      <c r="F126" s="5" t="str">
        <f>IFERROR(_xlfn.XLOOKUP(LEFT(tb_lectura[[#This Row],[ID]],7),tb_Productos[ID PRODUCTO],tb_Productos[MARCA]),"")</f>
        <v/>
      </c>
      <c r="G12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6" s="10">
        <f>1</f>
        <v>1</v>
      </c>
    </row>
    <row r="127" spans="2:8" ht="16.5" x14ac:dyDescent="0.3">
      <c r="B127" s="11"/>
      <c r="C127" s="5" t="str">
        <f>IFERROR(_xlfn.XLOOKUP(LEFT(tb_lectura[[#This Row],[ID]],7),tb_Productos[ID PRODUCTO],tb_Productos[DESCRIPCION]),"")</f>
        <v/>
      </c>
      <c r="D127" s="15" t="str">
        <f>IFERROR(_xlfn.XLOOKUP(LEFT(tb_lectura[[#This Row],[ID]],7),tb_Productos[ID PRODUCTO],tb_Productos[precio unitario]),"")</f>
        <v/>
      </c>
      <c r="E127" s="10" t="str">
        <f>IFERROR(_xlfn.XLOOKUP(LEFT(tb_lectura[[#This Row],[ID]],7),tb_Productos[ID PRODUCTO],tb_Productos[Descuento]),"")</f>
        <v/>
      </c>
      <c r="F127" s="5" t="str">
        <f>IFERROR(_xlfn.XLOOKUP(LEFT(tb_lectura[[#This Row],[ID]],7),tb_Productos[ID PRODUCTO],tb_Productos[MARCA]),"")</f>
        <v/>
      </c>
      <c r="G12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7" s="10">
        <f>1</f>
        <v>1</v>
      </c>
    </row>
    <row r="128" spans="2:8" ht="16.5" x14ac:dyDescent="0.3">
      <c r="B128" s="11"/>
      <c r="C128" s="5" t="str">
        <f>IFERROR(_xlfn.XLOOKUP(LEFT(tb_lectura[[#This Row],[ID]],7),tb_Productos[ID PRODUCTO],tb_Productos[DESCRIPCION]),"")</f>
        <v/>
      </c>
      <c r="D128" s="15" t="str">
        <f>IFERROR(_xlfn.XLOOKUP(LEFT(tb_lectura[[#This Row],[ID]],7),tb_Productos[ID PRODUCTO],tb_Productos[precio unitario]),"")</f>
        <v/>
      </c>
      <c r="E128" s="10" t="str">
        <f>IFERROR(_xlfn.XLOOKUP(LEFT(tb_lectura[[#This Row],[ID]],7),tb_Productos[ID PRODUCTO],tb_Productos[Descuento]),"")</f>
        <v/>
      </c>
      <c r="F128" s="5" t="str">
        <f>IFERROR(_xlfn.XLOOKUP(LEFT(tb_lectura[[#This Row],[ID]],7),tb_Productos[ID PRODUCTO],tb_Productos[MARCA]),"")</f>
        <v/>
      </c>
      <c r="G12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8" s="10">
        <f>1</f>
        <v>1</v>
      </c>
    </row>
    <row r="129" spans="2:8" ht="16.5" x14ac:dyDescent="0.3">
      <c r="B129" s="11"/>
      <c r="C129" s="5" t="str">
        <f>IFERROR(_xlfn.XLOOKUP(LEFT(tb_lectura[[#This Row],[ID]],7),tb_Productos[ID PRODUCTO],tb_Productos[DESCRIPCION]),"")</f>
        <v/>
      </c>
      <c r="D129" s="15" t="str">
        <f>IFERROR(_xlfn.XLOOKUP(LEFT(tb_lectura[[#This Row],[ID]],7),tb_Productos[ID PRODUCTO],tb_Productos[precio unitario]),"")</f>
        <v/>
      </c>
      <c r="E129" s="10" t="str">
        <f>IFERROR(_xlfn.XLOOKUP(LEFT(tb_lectura[[#This Row],[ID]],7),tb_Productos[ID PRODUCTO],tb_Productos[Descuento]),"")</f>
        <v/>
      </c>
      <c r="F129" s="5" t="str">
        <f>IFERROR(_xlfn.XLOOKUP(LEFT(tb_lectura[[#This Row],[ID]],7),tb_Productos[ID PRODUCTO],tb_Productos[MARCA]),"")</f>
        <v/>
      </c>
      <c r="G12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9" s="10">
        <f>1</f>
        <v>1</v>
      </c>
    </row>
    <row r="130" spans="2:8" ht="16.5" x14ac:dyDescent="0.3">
      <c r="B130" s="11"/>
      <c r="C130" s="5" t="str">
        <f>IFERROR(_xlfn.XLOOKUP(LEFT(tb_lectura[[#This Row],[ID]],7),tb_Productos[ID PRODUCTO],tb_Productos[DESCRIPCION]),"")</f>
        <v/>
      </c>
      <c r="D130" s="15" t="str">
        <f>IFERROR(_xlfn.XLOOKUP(LEFT(tb_lectura[[#This Row],[ID]],7),tb_Productos[ID PRODUCTO],tb_Productos[precio unitario]),"")</f>
        <v/>
      </c>
      <c r="E130" s="10" t="str">
        <f>IFERROR(_xlfn.XLOOKUP(LEFT(tb_lectura[[#This Row],[ID]],7),tb_Productos[ID PRODUCTO],tb_Productos[Descuento]),"")</f>
        <v/>
      </c>
      <c r="F130" s="5" t="str">
        <f>IFERROR(_xlfn.XLOOKUP(LEFT(tb_lectura[[#This Row],[ID]],7),tb_Productos[ID PRODUCTO],tb_Productos[MARCA]),"")</f>
        <v/>
      </c>
      <c r="G13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0" s="10">
        <f>1</f>
        <v>1</v>
      </c>
    </row>
    <row r="131" spans="2:8" ht="16.5" x14ac:dyDescent="0.3">
      <c r="B131" s="11"/>
      <c r="C131" s="5" t="str">
        <f>IFERROR(_xlfn.XLOOKUP(LEFT(tb_lectura[[#This Row],[ID]],7),tb_Productos[ID PRODUCTO],tb_Productos[DESCRIPCION]),"")</f>
        <v/>
      </c>
      <c r="D131" s="15" t="str">
        <f>IFERROR(_xlfn.XLOOKUP(LEFT(tb_lectura[[#This Row],[ID]],7),tb_Productos[ID PRODUCTO],tb_Productos[precio unitario]),"")</f>
        <v/>
      </c>
      <c r="E131" s="10" t="str">
        <f>IFERROR(_xlfn.XLOOKUP(LEFT(tb_lectura[[#This Row],[ID]],7),tb_Productos[ID PRODUCTO],tb_Productos[Descuento]),"")</f>
        <v/>
      </c>
      <c r="F131" s="5" t="str">
        <f>IFERROR(_xlfn.XLOOKUP(LEFT(tb_lectura[[#This Row],[ID]],7),tb_Productos[ID PRODUCTO],tb_Productos[MARCA]),"")</f>
        <v/>
      </c>
      <c r="G13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1" s="10">
        <f>1</f>
        <v>1</v>
      </c>
    </row>
    <row r="132" spans="2:8" ht="16.5" x14ac:dyDescent="0.3">
      <c r="B132" s="11"/>
      <c r="C132" s="5" t="str">
        <f>IFERROR(_xlfn.XLOOKUP(LEFT(tb_lectura[[#This Row],[ID]],7),tb_Productos[ID PRODUCTO],tb_Productos[DESCRIPCION]),"")</f>
        <v/>
      </c>
      <c r="D132" s="15" t="str">
        <f>IFERROR(_xlfn.XLOOKUP(LEFT(tb_lectura[[#This Row],[ID]],7),tb_Productos[ID PRODUCTO],tb_Productos[precio unitario]),"")</f>
        <v/>
      </c>
      <c r="E132" s="10" t="str">
        <f>IFERROR(_xlfn.XLOOKUP(LEFT(tb_lectura[[#This Row],[ID]],7),tb_Productos[ID PRODUCTO],tb_Productos[Descuento]),"")</f>
        <v/>
      </c>
      <c r="F132" s="5" t="str">
        <f>IFERROR(_xlfn.XLOOKUP(LEFT(tb_lectura[[#This Row],[ID]],7),tb_Productos[ID PRODUCTO],tb_Productos[MARCA]),"")</f>
        <v/>
      </c>
      <c r="G13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2" s="10">
        <f>1</f>
        <v>1</v>
      </c>
    </row>
    <row r="133" spans="2:8" ht="16.5" x14ac:dyDescent="0.3">
      <c r="B133" s="11"/>
      <c r="C133" s="5" t="str">
        <f>IFERROR(_xlfn.XLOOKUP(LEFT(tb_lectura[[#This Row],[ID]],7),tb_Productos[ID PRODUCTO],tb_Productos[DESCRIPCION]),"")</f>
        <v/>
      </c>
      <c r="D133" s="15" t="str">
        <f>IFERROR(_xlfn.XLOOKUP(LEFT(tb_lectura[[#This Row],[ID]],7),tb_Productos[ID PRODUCTO],tb_Productos[precio unitario]),"")</f>
        <v/>
      </c>
      <c r="E133" s="10" t="str">
        <f>IFERROR(_xlfn.XLOOKUP(LEFT(tb_lectura[[#This Row],[ID]],7),tb_Productos[ID PRODUCTO],tb_Productos[Descuento]),"")</f>
        <v/>
      </c>
      <c r="F133" s="5" t="str">
        <f>IFERROR(_xlfn.XLOOKUP(LEFT(tb_lectura[[#This Row],[ID]],7),tb_Productos[ID PRODUCTO],tb_Productos[MARCA]),"")</f>
        <v/>
      </c>
      <c r="G13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3" s="10">
        <f>1</f>
        <v>1</v>
      </c>
    </row>
    <row r="134" spans="2:8" ht="16.5" x14ac:dyDescent="0.3">
      <c r="B134" s="11"/>
      <c r="C134" s="5" t="str">
        <f>IFERROR(_xlfn.XLOOKUP(LEFT(tb_lectura[[#This Row],[ID]],7),tb_Productos[ID PRODUCTO],tb_Productos[DESCRIPCION]),"")</f>
        <v/>
      </c>
      <c r="D134" s="15" t="str">
        <f>IFERROR(_xlfn.XLOOKUP(LEFT(tb_lectura[[#This Row],[ID]],7),tb_Productos[ID PRODUCTO],tb_Productos[precio unitario]),"")</f>
        <v/>
      </c>
      <c r="E134" s="10" t="str">
        <f>IFERROR(_xlfn.XLOOKUP(LEFT(tb_lectura[[#This Row],[ID]],7),tb_Productos[ID PRODUCTO],tb_Productos[Descuento]),"")</f>
        <v/>
      </c>
      <c r="F134" s="5" t="str">
        <f>IFERROR(_xlfn.XLOOKUP(LEFT(tb_lectura[[#This Row],[ID]],7),tb_Productos[ID PRODUCTO],tb_Productos[MARCA]),"")</f>
        <v/>
      </c>
      <c r="G13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4" s="10">
        <f>1</f>
        <v>1</v>
      </c>
    </row>
    <row r="135" spans="2:8" ht="16.5" x14ac:dyDescent="0.3">
      <c r="B135" s="11"/>
      <c r="C135" s="5" t="str">
        <f>IFERROR(_xlfn.XLOOKUP(LEFT(tb_lectura[[#This Row],[ID]],7),tb_Productos[ID PRODUCTO],tb_Productos[DESCRIPCION]),"")</f>
        <v/>
      </c>
      <c r="D135" s="15" t="str">
        <f>IFERROR(_xlfn.XLOOKUP(LEFT(tb_lectura[[#This Row],[ID]],7),tb_Productos[ID PRODUCTO],tb_Productos[precio unitario]),"")</f>
        <v/>
      </c>
      <c r="E135" s="10" t="str">
        <f>IFERROR(_xlfn.XLOOKUP(LEFT(tb_lectura[[#This Row],[ID]],7),tb_Productos[ID PRODUCTO],tb_Productos[Descuento]),"")</f>
        <v/>
      </c>
      <c r="F135" s="5" t="str">
        <f>IFERROR(_xlfn.XLOOKUP(LEFT(tb_lectura[[#This Row],[ID]],7),tb_Productos[ID PRODUCTO],tb_Productos[MARCA]),"")</f>
        <v/>
      </c>
      <c r="G13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5" s="10">
        <f>1</f>
        <v>1</v>
      </c>
    </row>
    <row r="136" spans="2:8" ht="16.5" x14ac:dyDescent="0.3">
      <c r="B136" s="11"/>
      <c r="C136" s="5" t="str">
        <f>IFERROR(_xlfn.XLOOKUP(LEFT(tb_lectura[[#This Row],[ID]],7),tb_Productos[ID PRODUCTO],tb_Productos[DESCRIPCION]),"")</f>
        <v/>
      </c>
      <c r="D136" s="15" t="str">
        <f>IFERROR(_xlfn.XLOOKUP(LEFT(tb_lectura[[#This Row],[ID]],7),tb_Productos[ID PRODUCTO],tb_Productos[precio unitario]),"")</f>
        <v/>
      </c>
      <c r="E136" s="10" t="str">
        <f>IFERROR(_xlfn.XLOOKUP(LEFT(tb_lectura[[#This Row],[ID]],7),tb_Productos[ID PRODUCTO],tb_Productos[Descuento]),"")</f>
        <v/>
      </c>
      <c r="F136" s="5" t="str">
        <f>IFERROR(_xlfn.XLOOKUP(LEFT(tb_lectura[[#This Row],[ID]],7),tb_Productos[ID PRODUCTO],tb_Productos[MARCA]),"")</f>
        <v/>
      </c>
      <c r="G13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6" s="10">
        <f>1</f>
        <v>1</v>
      </c>
    </row>
    <row r="137" spans="2:8" ht="16.5" x14ac:dyDescent="0.3">
      <c r="B137" s="11"/>
      <c r="C137" s="5" t="str">
        <f>IFERROR(_xlfn.XLOOKUP(LEFT(tb_lectura[[#This Row],[ID]],7),tb_Productos[ID PRODUCTO],tb_Productos[DESCRIPCION]),"")</f>
        <v/>
      </c>
      <c r="D137" s="15" t="str">
        <f>IFERROR(_xlfn.XLOOKUP(LEFT(tb_lectura[[#This Row],[ID]],7),tb_Productos[ID PRODUCTO],tb_Productos[precio unitario]),"")</f>
        <v/>
      </c>
      <c r="E137" s="10" t="str">
        <f>IFERROR(_xlfn.XLOOKUP(LEFT(tb_lectura[[#This Row],[ID]],7),tb_Productos[ID PRODUCTO],tb_Productos[Descuento]),"")</f>
        <v/>
      </c>
      <c r="F137" s="5" t="str">
        <f>IFERROR(_xlfn.XLOOKUP(LEFT(tb_lectura[[#This Row],[ID]],7),tb_Productos[ID PRODUCTO],tb_Productos[MARCA]),"")</f>
        <v/>
      </c>
      <c r="G13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7" s="10">
        <f>1</f>
        <v>1</v>
      </c>
    </row>
    <row r="138" spans="2:8" ht="16.5" x14ac:dyDescent="0.3">
      <c r="B138" s="11"/>
      <c r="C138" s="5" t="str">
        <f>IFERROR(_xlfn.XLOOKUP(LEFT(tb_lectura[[#This Row],[ID]],7),tb_Productos[ID PRODUCTO],tb_Productos[DESCRIPCION]),"")</f>
        <v/>
      </c>
      <c r="D138" s="15" t="str">
        <f>IFERROR(_xlfn.XLOOKUP(LEFT(tb_lectura[[#This Row],[ID]],7),tb_Productos[ID PRODUCTO],tb_Productos[precio unitario]),"")</f>
        <v/>
      </c>
      <c r="E138" s="10" t="str">
        <f>IFERROR(_xlfn.XLOOKUP(LEFT(tb_lectura[[#This Row],[ID]],7),tb_Productos[ID PRODUCTO],tb_Productos[Descuento]),"")</f>
        <v/>
      </c>
      <c r="F138" s="5" t="str">
        <f>IFERROR(_xlfn.XLOOKUP(LEFT(tb_lectura[[#This Row],[ID]],7),tb_Productos[ID PRODUCTO],tb_Productos[MARCA]),"")</f>
        <v/>
      </c>
      <c r="G13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8" s="10">
        <f>1</f>
        <v>1</v>
      </c>
    </row>
    <row r="139" spans="2:8" ht="16.5" x14ac:dyDescent="0.3">
      <c r="B139" s="11"/>
      <c r="C139" s="5" t="str">
        <f>IFERROR(_xlfn.XLOOKUP(LEFT(tb_lectura[[#This Row],[ID]],7),tb_Productos[ID PRODUCTO],tb_Productos[DESCRIPCION]),"")</f>
        <v/>
      </c>
      <c r="D139" s="15" t="str">
        <f>IFERROR(_xlfn.XLOOKUP(LEFT(tb_lectura[[#This Row],[ID]],7),tb_Productos[ID PRODUCTO],tb_Productos[precio unitario]),"")</f>
        <v/>
      </c>
      <c r="E139" s="10" t="str">
        <f>IFERROR(_xlfn.XLOOKUP(LEFT(tb_lectura[[#This Row],[ID]],7),tb_Productos[ID PRODUCTO],tb_Productos[Descuento]),"")</f>
        <v/>
      </c>
      <c r="F139" s="5" t="str">
        <f>IFERROR(_xlfn.XLOOKUP(LEFT(tb_lectura[[#This Row],[ID]],7),tb_Productos[ID PRODUCTO],tb_Productos[MARCA]),"")</f>
        <v/>
      </c>
      <c r="G13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9" s="10">
        <f>1</f>
        <v>1</v>
      </c>
    </row>
    <row r="140" spans="2:8" ht="16.5" x14ac:dyDescent="0.3">
      <c r="B140" s="11"/>
      <c r="C140" s="5" t="str">
        <f>IFERROR(_xlfn.XLOOKUP(LEFT(tb_lectura[[#This Row],[ID]],7),tb_Productos[ID PRODUCTO],tb_Productos[DESCRIPCION]),"")</f>
        <v/>
      </c>
      <c r="D140" s="15" t="str">
        <f>IFERROR(_xlfn.XLOOKUP(LEFT(tb_lectura[[#This Row],[ID]],7),tb_Productos[ID PRODUCTO],tb_Productos[precio unitario]),"")</f>
        <v/>
      </c>
      <c r="E140" s="10" t="str">
        <f>IFERROR(_xlfn.XLOOKUP(LEFT(tb_lectura[[#This Row],[ID]],7),tb_Productos[ID PRODUCTO],tb_Productos[Descuento]),"")</f>
        <v/>
      </c>
      <c r="F140" s="5" t="str">
        <f>IFERROR(_xlfn.XLOOKUP(LEFT(tb_lectura[[#This Row],[ID]],7),tb_Productos[ID PRODUCTO],tb_Productos[MARCA]),"")</f>
        <v/>
      </c>
      <c r="G14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0" s="10">
        <f>1</f>
        <v>1</v>
      </c>
    </row>
    <row r="141" spans="2:8" ht="16.5" x14ac:dyDescent="0.3">
      <c r="B141" s="11"/>
      <c r="C141" s="5" t="str">
        <f>IFERROR(_xlfn.XLOOKUP(LEFT(tb_lectura[[#This Row],[ID]],7),tb_Productos[ID PRODUCTO],tb_Productos[DESCRIPCION]),"")</f>
        <v/>
      </c>
      <c r="D141" s="15" t="str">
        <f>IFERROR(_xlfn.XLOOKUP(LEFT(tb_lectura[[#This Row],[ID]],7),tb_Productos[ID PRODUCTO],tb_Productos[precio unitario]),"")</f>
        <v/>
      </c>
      <c r="E141" s="10" t="str">
        <f>IFERROR(_xlfn.XLOOKUP(LEFT(tb_lectura[[#This Row],[ID]],7),tb_Productos[ID PRODUCTO],tb_Productos[Descuento]),"")</f>
        <v/>
      </c>
      <c r="F141" s="5" t="str">
        <f>IFERROR(_xlfn.XLOOKUP(LEFT(tb_lectura[[#This Row],[ID]],7),tb_Productos[ID PRODUCTO],tb_Productos[MARCA]),"")</f>
        <v/>
      </c>
      <c r="G14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1" s="10">
        <f>1</f>
        <v>1</v>
      </c>
    </row>
    <row r="142" spans="2:8" ht="16.5" x14ac:dyDescent="0.3">
      <c r="B142" s="11"/>
      <c r="C142" s="5" t="str">
        <f>IFERROR(_xlfn.XLOOKUP(LEFT(tb_lectura[[#This Row],[ID]],7),tb_Productos[ID PRODUCTO],tb_Productos[DESCRIPCION]),"")</f>
        <v/>
      </c>
      <c r="D142" s="15" t="str">
        <f>IFERROR(_xlfn.XLOOKUP(LEFT(tb_lectura[[#This Row],[ID]],7),tb_Productos[ID PRODUCTO],tb_Productos[precio unitario]),"")</f>
        <v/>
      </c>
      <c r="E142" s="10" t="str">
        <f>IFERROR(_xlfn.XLOOKUP(LEFT(tb_lectura[[#This Row],[ID]],7),tb_Productos[ID PRODUCTO],tb_Productos[Descuento]),"")</f>
        <v/>
      </c>
      <c r="F142" s="5" t="str">
        <f>IFERROR(_xlfn.XLOOKUP(LEFT(tb_lectura[[#This Row],[ID]],7),tb_Productos[ID PRODUCTO],tb_Productos[MARCA]),"")</f>
        <v/>
      </c>
      <c r="G14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2" s="10">
        <f>1</f>
        <v>1</v>
      </c>
    </row>
    <row r="143" spans="2:8" ht="16.5" x14ac:dyDescent="0.3">
      <c r="B143" s="11"/>
      <c r="C143" s="5" t="str">
        <f>IFERROR(_xlfn.XLOOKUP(LEFT(tb_lectura[[#This Row],[ID]],7),tb_Productos[ID PRODUCTO],tb_Productos[DESCRIPCION]),"")</f>
        <v/>
      </c>
      <c r="D143" s="15" t="str">
        <f>IFERROR(_xlfn.XLOOKUP(LEFT(tb_lectura[[#This Row],[ID]],7),tb_Productos[ID PRODUCTO],tb_Productos[precio unitario]),"")</f>
        <v/>
      </c>
      <c r="E143" s="10" t="str">
        <f>IFERROR(_xlfn.XLOOKUP(LEFT(tb_lectura[[#This Row],[ID]],7),tb_Productos[ID PRODUCTO],tb_Productos[Descuento]),"")</f>
        <v/>
      </c>
      <c r="F143" s="5" t="str">
        <f>IFERROR(_xlfn.XLOOKUP(LEFT(tb_lectura[[#This Row],[ID]],7),tb_Productos[ID PRODUCTO],tb_Productos[MARCA]),"")</f>
        <v/>
      </c>
      <c r="G14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3" s="10">
        <f>1</f>
        <v>1</v>
      </c>
    </row>
    <row r="144" spans="2:8" ht="16.5" x14ac:dyDescent="0.3">
      <c r="B144" s="11"/>
      <c r="C144" s="5" t="str">
        <f>IFERROR(_xlfn.XLOOKUP(LEFT(tb_lectura[[#This Row],[ID]],7),tb_Productos[ID PRODUCTO],tb_Productos[DESCRIPCION]),"")</f>
        <v/>
      </c>
      <c r="D144" s="15" t="str">
        <f>IFERROR(_xlfn.XLOOKUP(LEFT(tb_lectura[[#This Row],[ID]],7),tb_Productos[ID PRODUCTO],tb_Productos[precio unitario]),"")</f>
        <v/>
      </c>
      <c r="E144" s="10" t="str">
        <f>IFERROR(_xlfn.XLOOKUP(LEFT(tb_lectura[[#This Row],[ID]],7),tb_Productos[ID PRODUCTO],tb_Productos[Descuento]),"")</f>
        <v/>
      </c>
      <c r="F144" s="5" t="str">
        <f>IFERROR(_xlfn.XLOOKUP(LEFT(tb_lectura[[#This Row],[ID]],7),tb_Productos[ID PRODUCTO],tb_Productos[MARCA]),"")</f>
        <v/>
      </c>
      <c r="G14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4" s="10">
        <f>1</f>
        <v>1</v>
      </c>
    </row>
    <row r="145" spans="2:8" ht="16.5" x14ac:dyDescent="0.3">
      <c r="B145" s="11"/>
      <c r="C145" s="5" t="str">
        <f>IFERROR(_xlfn.XLOOKUP(LEFT(tb_lectura[[#This Row],[ID]],7),tb_Productos[ID PRODUCTO],tb_Productos[DESCRIPCION]),"")</f>
        <v/>
      </c>
      <c r="D145" s="15" t="str">
        <f>IFERROR(_xlfn.XLOOKUP(LEFT(tb_lectura[[#This Row],[ID]],7),tb_Productos[ID PRODUCTO],tb_Productos[precio unitario]),"")</f>
        <v/>
      </c>
      <c r="E145" s="10" t="str">
        <f>IFERROR(_xlfn.XLOOKUP(LEFT(tb_lectura[[#This Row],[ID]],7),tb_Productos[ID PRODUCTO],tb_Productos[Descuento]),"")</f>
        <v/>
      </c>
      <c r="F145" s="5" t="str">
        <f>IFERROR(_xlfn.XLOOKUP(LEFT(tb_lectura[[#This Row],[ID]],7),tb_Productos[ID PRODUCTO],tb_Productos[MARCA]),"")</f>
        <v/>
      </c>
      <c r="G14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5" s="10">
        <f>1</f>
        <v>1</v>
      </c>
    </row>
    <row r="146" spans="2:8" ht="16.5" x14ac:dyDescent="0.3">
      <c r="B146" s="11"/>
      <c r="C146" s="5" t="str">
        <f>IFERROR(_xlfn.XLOOKUP(LEFT(tb_lectura[[#This Row],[ID]],7),tb_Productos[ID PRODUCTO],tb_Productos[DESCRIPCION]),"")</f>
        <v/>
      </c>
      <c r="D146" s="15" t="str">
        <f>IFERROR(_xlfn.XLOOKUP(LEFT(tb_lectura[[#This Row],[ID]],7),tb_Productos[ID PRODUCTO],tb_Productos[precio unitario]),"")</f>
        <v/>
      </c>
      <c r="E146" s="10" t="str">
        <f>IFERROR(_xlfn.XLOOKUP(LEFT(tb_lectura[[#This Row],[ID]],7),tb_Productos[ID PRODUCTO],tb_Productos[Descuento]),"")</f>
        <v/>
      </c>
      <c r="F146" s="5" t="str">
        <f>IFERROR(_xlfn.XLOOKUP(LEFT(tb_lectura[[#This Row],[ID]],7),tb_Productos[ID PRODUCTO],tb_Productos[MARCA]),"")</f>
        <v/>
      </c>
      <c r="G14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6" s="10">
        <f>1</f>
        <v>1</v>
      </c>
    </row>
    <row r="147" spans="2:8" ht="16.5" x14ac:dyDescent="0.3">
      <c r="B147" s="11"/>
      <c r="C147" s="5" t="str">
        <f>IFERROR(_xlfn.XLOOKUP(LEFT(tb_lectura[[#This Row],[ID]],7),tb_Productos[ID PRODUCTO],tb_Productos[DESCRIPCION]),"")</f>
        <v/>
      </c>
      <c r="D147" s="15" t="str">
        <f>IFERROR(_xlfn.XLOOKUP(LEFT(tb_lectura[[#This Row],[ID]],7),tb_Productos[ID PRODUCTO],tb_Productos[precio unitario]),"")</f>
        <v/>
      </c>
      <c r="E147" s="10" t="str">
        <f>IFERROR(_xlfn.XLOOKUP(LEFT(tb_lectura[[#This Row],[ID]],7),tb_Productos[ID PRODUCTO],tb_Productos[Descuento]),"")</f>
        <v/>
      </c>
      <c r="F147" s="5" t="str">
        <f>IFERROR(_xlfn.XLOOKUP(LEFT(tb_lectura[[#This Row],[ID]],7),tb_Productos[ID PRODUCTO],tb_Productos[MARCA]),"")</f>
        <v/>
      </c>
      <c r="G14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7" s="10">
        <f>1</f>
        <v>1</v>
      </c>
    </row>
    <row r="148" spans="2:8" ht="16.5" x14ac:dyDescent="0.3">
      <c r="B148" s="11"/>
      <c r="C148" s="5" t="str">
        <f>IFERROR(_xlfn.XLOOKUP(LEFT(tb_lectura[[#This Row],[ID]],7),tb_Productos[ID PRODUCTO],tb_Productos[DESCRIPCION]),"")</f>
        <v/>
      </c>
      <c r="D148" s="15" t="str">
        <f>IFERROR(_xlfn.XLOOKUP(LEFT(tb_lectura[[#This Row],[ID]],7),tb_Productos[ID PRODUCTO],tb_Productos[precio unitario]),"")</f>
        <v/>
      </c>
      <c r="E148" s="10" t="str">
        <f>IFERROR(_xlfn.XLOOKUP(LEFT(tb_lectura[[#This Row],[ID]],7),tb_Productos[ID PRODUCTO],tb_Productos[Descuento]),"")</f>
        <v/>
      </c>
      <c r="F148" s="5" t="str">
        <f>IFERROR(_xlfn.XLOOKUP(LEFT(tb_lectura[[#This Row],[ID]],7),tb_Productos[ID PRODUCTO],tb_Productos[MARCA]),"")</f>
        <v/>
      </c>
      <c r="G14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8" s="10">
        <f>1</f>
        <v>1</v>
      </c>
    </row>
    <row r="149" spans="2:8" ht="16.5" x14ac:dyDescent="0.3">
      <c r="B149" s="11"/>
      <c r="C149" s="5" t="str">
        <f>IFERROR(_xlfn.XLOOKUP(LEFT(tb_lectura[[#This Row],[ID]],7),tb_Productos[ID PRODUCTO],tb_Productos[DESCRIPCION]),"")</f>
        <v/>
      </c>
      <c r="D149" s="15" t="str">
        <f>IFERROR(_xlfn.XLOOKUP(LEFT(tb_lectura[[#This Row],[ID]],7),tb_Productos[ID PRODUCTO],tb_Productos[precio unitario]),"")</f>
        <v/>
      </c>
      <c r="E149" s="10" t="str">
        <f>IFERROR(_xlfn.XLOOKUP(LEFT(tb_lectura[[#This Row],[ID]],7),tb_Productos[ID PRODUCTO],tb_Productos[Descuento]),"")</f>
        <v/>
      </c>
      <c r="F149" s="5" t="str">
        <f>IFERROR(_xlfn.XLOOKUP(LEFT(tb_lectura[[#This Row],[ID]],7),tb_Productos[ID PRODUCTO],tb_Productos[MARCA]),"")</f>
        <v/>
      </c>
      <c r="G14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9" s="10">
        <f>1</f>
        <v>1</v>
      </c>
    </row>
    <row r="150" spans="2:8" ht="16.5" x14ac:dyDescent="0.3">
      <c r="B150" s="11"/>
      <c r="C150" s="5" t="str">
        <f>IFERROR(_xlfn.XLOOKUP(LEFT(tb_lectura[[#This Row],[ID]],7),tb_Productos[ID PRODUCTO],tb_Productos[DESCRIPCION]),"")</f>
        <v/>
      </c>
      <c r="D150" s="15" t="str">
        <f>IFERROR(_xlfn.XLOOKUP(LEFT(tb_lectura[[#This Row],[ID]],7),tb_Productos[ID PRODUCTO],tb_Productos[precio unitario]),"")</f>
        <v/>
      </c>
      <c r="E150" s="10" t="str">
        <f>IFERROR(_xlfn.XLOOKUP(LEFT(tb_lectura[[#This Row],[ID]],7),tb_Productos[ID PRODUCTO],tb_Productos[Descuento]),"")</f>
        <v/>
      </c>
      <c r="F150" s="5" t="str">
        <f>IFERROR(_xlfn.XLOOKUP(LEFT(tb_lectura[[#This Row],[ID]],7),tb_Productos[ID PRODUCTO],tb_Productos[MARCA]),"")</f>
        <v/>
      </c>
      <c r="G15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0" s="10">
        <f>1</f>
        <v>1</v>
      </c>
    </row>
    <row r="151" spans="2:8" ht="16.5" x14ac:dyDescent="0.3">
      <c r="B151" s="11"/>
      <c r="C151" s="5" t="str">
        <f>IFERROR(_xlfn.XLOOKUP(LEFT(tb_lectura[[#This Row],[ID]],7),tb_Productos[ID PRODUCTO],tb_Productos[DESCRIPCION]),"")</f>
        <v/>
      </c>
      <c r="D151" s="15" t="str">
        <f>IFERROR(_xlfn.XLOOKUP(LEFT(tb_lectura[[#This Row],[ID]],7),tb_Productos[ID PRODUCTO],tb_Productos[precio unitario]),"")</f>
        <v/>
      </c>
      <c r="E151" s="10" t="str">
        <f>IFERROR(_xlfn.XLOOKUP(LEFT(tb_lectura[[#This Row],[ID]],7),tb_Productos[ID PRODUCTO],tb_Productos[Descuento]),"")</f>
        <v/>
      </c>
      <c r="F151" s="5" t="str">
        <f>IFERROR(_xlfn.XLOOKUP(LEFT(tb_lectura[[#This Row],[ID]],7),tb_Productos[ID PRODUCTO],tb_Productos[MARCA]),"")</f>
        <v/>
      </c>
      <c r="G15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1" s="10">
        <f>1</f>
        <v>1</v>
      </c>
    </row>
    <row r="152" spans="2:8" ht="16.5" x14ac:dyDescent="0.3">
      <c r="B152" s="11"/>
      <c r="C152" s="5" t="str">
        <f>IFERROR(_xlfn.XLOOKUP(LEFT(tb_lectura[[#This Row],[ID]],7),tb_Productos[ID PRODUCTO],tb_Productos[DESCRIPCION]),"")</f>
        <v/>
      </c>
      <c r="D152" s="15" t="str">
        <f>IFERROR(_xlfn.XLOOKUP(LEFT(tb_lectura[[#This Row],[ID]],7),tb_Productos[ID PRODUCTO],tb_Productos[precio unitario]),"")</f>
        <v/>
      </c>
      <c r="E152" s="10" t="str">
        <f>IFERROR(_xlfn.XLOOKUP(LEFT(tb_lectura[[#This Row],[ID]],7),tb_Productos[ID PRODUCTO],tb_Productos[Descuento]),"")</f>
        <v/>
      </c>
      <c r="F152" s="5" t="str">
        <f>IFERROR(_xlfn.XLOOKUP(LEFT(tb_lectura[[#This Row],[ID]],7),tb_Productos[ID PRODUCTO],tb_Productos[MARCA]),"")</f>
        <v/>
      </c>
      <c r="G15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2" s="10">
        <f>1</f>
        <v>1</v>
      </c>
    </row>
    <row r="153" spans="2:8" ht="16.5" x14ac:dyDescent="0.3">
      <c r="B153" s="11"/>
      <c r="C153" s="5" t="str">
        <f>IFERROR(_xlfn.XLOOKUP(LEFT(tb_lectura[[#This Row],[ID]],7),tb_Productos[ID PRODUCTO],tb_Productos[DESCRIPCION]),"")</f>
        <v/>
      </c>
      <c r="D153" s="15" t="str">
        <f>IFERROR(_xlfn.XLOOKUP(LEFT(tb_lectura[[#This Row],[ID]],7),tb_Productos[ID PRODUCTO],tb_Productos[precio unitario]),"")</f>
        <v/>
      </c>
      <c r="E153" s="10" t="str">
        <f>IFERROR(_xlfn.XLOOKUP(LEFT(tb_lectura[[#This Row],[ID]],7),tb_Productos[ID PRODUCTO],tb_Productos[Descuento]),"")</f>
        <v/>
      </c>
      <c r="F153" s="5" t="str">
        <f>IFERROR(_xlfn.XLOOKUP(LEFT(tb_lectura[[#This Row],[ID]],7),tb_Productos[ID PRODUCTO],tb_Productos[MARCA]),"")</f>
        <v/>
      </c>
      <c r="G15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3" s="10">
        <f>1</f>
        <v>1</v>
      </c>
    </row>
    <row r="154" spans="2:8" ht="16.5" x14ac:dyDescent="0.3">
      <c r="B154" s="11"/>
      <c r="C154" s="5" t="str">
        <f>IFERROR(_xlfn.XLOOKUP(LEFT(tb_lectura[[#This Row],[ID]],7),tb_Productos[ID PRODUCTO],tb_Productos[DESCRIPCION]),"")</f>
        <v/>
      </c>
      <c r="D154" s="15" t="str">
        <f>IFERROR(_xlfn.XLOOKUP(LEFT(tb_lectura[[#This Row],[ID]],7),tb_Productos[ID PRODUCTO],tb_Productos[precio unitario]),"")</f>
        <v/>
      </c>
      <c r="E154" s="10" t="str">
        <f>IFERROR(_xlfn.XLOOKUP(LEFT(tb_lectura[[#This Row],[ID]],7),tb_Productos[ID PRODUCTO],tb_Productos[Descuento]),"")</f>
        <v/>
      </c>
      <c r="F154" s="5" t="str">
        <f>IFERROR(_xlfn.XLOOKUP(LEFT(tb_lectura[[#This Row],[ID]],7),tb_Productos[ID PRODUCTO],tb_Productos[MARCA]),"")</f>
        <v/>
      </c>
      <c r="G15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4" s="10">
        <f>1</f>
        <v>1</v>
      </c>
    </row>
    <row r="155" spans="2:8" ht="16.5" x14ac:dyDescent="0.3">
      <c r="B155" s="11"/>
      <c r="C155" s="5" t="str">
        <f>IFERROR(_xlfn.XLOOKUP(LEFT(tb_lectura[[#This Row],[ID]],7),tb_Productos[ID PRODUCTO],tb_Productos[DESCRIPCION]),"")</f>
        <v/>
      </c>
      <c r="D155" s="15" t="str">
        <f>IFERROR(_xlfn.XLOOKUP(LEFT(tb_lectura[[#This Row],[ID]],7),tb_Productos[ID PRODUCTO],tb_Productos[precio unitario]),"")</f>
        <v/>
      </c>
      <c r="E155" s="10" t="str">
        <f>IFERROR(_xlfn.XLOOKUP(LEFT(tb_lectura[[#This Row],[ID]],7),tb_Productos[ID PRODUCTO],tb_Productos[Descuento]),"")</f>
        <v/>
      </c>
      <c r="F155" s="5" t="str">
        <f>IFERROR(_xlfn.XLOOKUP(LEFT(tb_lectura[[#This Row],[ID]],7),tb_Productos[ID PRODUCTO],tb_Productos[MARCA]),"")</f>
        <v/>
      </c>
      <c r="G15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5" s="10">
        <f>1</f>
        <v>1</v>
      </c>
    </row>
    <row r="156" spans="2:8" ht="16.5" x14ac:dyDescent="0.3">
      <c r="B156" s="11"/>
      <c r="C156" s="5" t="str">
        <f>IFERROR(_xlfn.XLOOKUP(LEFT(tb_lectura[[#This Row],[ID]],7),tb_Productos[ID PRODUCTO],tb_Productos[DESCRIPCION]),"")</f>
        <v/>
      </c>
      <c r="D156" s="15" t="str">
        <f>IFERROR(_xlfn.XLOOKUP(LEFT(tb_lectura[[#This Row],[ID]],7),tb_Productos[ID PRODUCTO],tb_Productos[precio unitario]),"")</f>
        <v/>
      </c>
      <c r="E156" s="10" t="str">
        <f>IFERROR(_xlfn.XLOOKUP(LEFT(tb_lectura[[#This Row],[ID]],7),tb_Productos[ID PRODUCTO],tb_Productos[Descuento]),"")</f>
        <v/>
      </c>
      <c r="F156" s="5" t="str">
        <f>IFERROR(_xlfn.XLOOKUP(LEFT(tb_lectura[[#This Row],[ID]],7),tb_Productos[ID PRODUCTO],tb_Productos[MARCA]),"")</f>
        <v/>
      </c>
      <c r="G15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6" s="10">
        <f>1</f>
        <v>1</v>
      </c>
    </row>
    <row r="157" spans="2:8" ht="16.5" x14ac:dyDescent="0.3">
      <c r="B157" s="11"/>
      <c r="C157" s="5" t="str">
        <f>IFERROR(_xlfn.XLOOKUP(LEFT(tb_lectura[[#This Row],[ID]],7),tb_Productos[ID PRODUCTO],tb_Productos[DESCRIPCION]),"")</f>
        <v/>
      </c>
      <c r="D157" s="15" t="str">
        <f>IFERROR(_xlfn.XLOOKUP(LEFT(tb_lectura[[#This Row],[ID]],7),tb_Productos[ID PRODUCTO],tb_Productos[precio unitario]),"")</f>
        <v/>
      </c>
      <c r="E157" s="10" t="str">
        <f>IFERROR(_xlfn.XLOOKUP(LEFT(tb_lectura[[#This Row],[ID]],7),tb_Productos[ID PRODUCTO],tb_Productos[Descuento]),"")</f>
        <v/>
      </c>
      <c r="F157" s="5" t="str">
        <f>IFERROR(_xlfn.XLOOKUP(LEFT(tb_lectura[[#This Row],[ID]],7),tb_Productos[ID PRODUCTO],tb_Productos[MARCA]),"")</f>
        <v/>
      </c>
      <c r="G15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7" s="10">
        <f>1</f>
        <v>1</v>
      </c>
    </row>
    <row r="158" spans="2:8" ht="16.5" x14ac:dyDescent="0.3">
      <c r="B158" s="11"/>
      <c r="C158" s="5" t="str">
        <f>IFERROR(_xlfn.XLOOKUP(LEFT(tb_lectura[[#This Row],[ID]],7),tb_Productos[ID PRODUCTO],tb_Productos[DESCRIPCION]),"")</f>
        <v/>
      </c>
      <c r="D158" s="15" t="str">
        <f>IFERROR(_xlfn.XLOOKUP(LEFT(tb_lectura[[#This Row],[ID]],7),tb_Productos[ID PRODUCTO],tb_Productos[precio unitario]),"")</f>
        <v/>
      </c>
      <c r="E158" s="10" t="str">
        <f>IFERROR(_xlfn.XLOOKUP(LEFT(tb_lectura[[#This Row],[ID]],7),tb_Productos[ID PRODUCTO],tb_Productos[Descuento]),"")</f>
        <v/>
      </c>
      <c r="F158" s="5" t="str">
        <f>IFERROR(_xlfn.XLOOKUP(LEFT(tb_lectura[[#This Row],[ID]],7),tb_Productos[ID PRODUCTO],tb_Productos[MARCA]),"")</f>
        <v/>
      </c>
      <c r="G15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8" s="10">
        <f>1</f>
        <v>1</v>
      </c>
    </row>
    <row r="159" spans="2:8" ht="16.5" x14ac:dyDescent="0.3">
      <c r="B159" s="11"/>
      <c r="C159" s="5" t="str">
        <f>IFERROR(_xlfn.XLOOKUP(LEFT(tb_lectura[[#This Row],[ID]],7),tb_Productos[ID PRODUCTO],tb_Productos[DESCRIPCION]),"")</f>
        <v/>
      </c>
      <c r="D159" s="15" t="str">
        <f>IFERROR(_xlfn.XLOOKUP(LEFT(tb_lectura[[#This Row],[ID]],7),tb_Productos[ID PRODUCTO],tb_Productos[precio unitario]),"")</f>
        <v/>
      </c>
      <c r="E159" s="10" t="str">
        <f>IFERROR(_xlfn.XLOOKUP(LEFT(tb_lectura[[#This Row],[ID]],7),tb_Productos[ID PRODUCTO],tb_Productos[Descuento]),"")</f>
        <v/>
      </c>
      <c r="F159" s="5" t="str">
        <f>IFERROR(_xlfn.XLOOKUP(LEFT(tb_lectura[[#This Row],[ID]],7),tb_Productos[ID PRODUCTO],tb_Productos[MARCA]),"")</f>
        <v/>
      </c>
      <c r="G15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9" s="10">
        <f>1</f>
        <v>1</v>
      </c>
    </row>
    <row r="160" spans="2:8" ht="16.5" x14ac:dyDescent="0.3">
      <c r="B160" s="11"/>
      <c r="C160" s="5" t="str">
        <f>IFERROR(_xlfn.XLOOKUP(LEFT(tb_lectura[[#This Row],[ID]],7),tb_Productos[ID PRODUCTO],tb_Productos[DESCRIPCION]),"")</f>
        <v/>
      </c>
      <c r="D160" s="15" t="str">
        <f>IFERROR(_xlfn.XLOOKUP(LEFT(tb_lectura[[#This Row],[ID]],7),tb_Productos[ID PRODUCTO],tb_Productos[precio unitario]),"")</f>
        <v/>
      </c>
      <c r="E160" s="10" t="str">
        <f>IFERROR(_xlfn.XLOOKUP(LEFT(tb_lectura[[#This Row],[ID]],7),tb_Productos[ID PRODUCTO],tb_Productos[Descuento]),"")</f>
        <v/>
      </c>
      <c r="F160" s="5" t="str">
        <f>IFERROR(_xlfn.XLOOKUP(LEFT(tb_lectura[[#This Row],[ID]],7),tb_Productos[ID PRODUCTO],tb_Productos[MARCA]),"")</f>
        <v/>
      </c>
      <c r="G16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0" s="10">
        <f>1</f>
        <v>1</v>
      </c>
    </row>
    <row r="161" spans="2:8" ht="16.5" x14ac:dyDescent="0.3">
      <c r="B161" s="11"/>
      <c r="C161" s="5" t="str">
        <f>IFERROR(_xlfn.XLOOKUP(LEFT(tb_lectura[[#This Row],[ID]],7),tb_Productos[ID PRODUCTO],tb_Productos[DESCRIPCION]),"")</f>
        <v/>
      </c>
      <c r="D161" s="15" t="str">
        <f>IFERROR(_xlfn.XLOOKUP(LEFT(tb_lectura[[#This Row],[ID]],7),tb_Productos[ID PRODUCTO],tb_Productos[precio unitario]),"")</f>
        <v/>
      </c>
      <c r="E161" s="10" t="str">
        <f>IFERROR(_xlfn.XLOOKUP(LEFT(tb_lectura[[#This Row],[ID]],7),tb_Productos[ID PRODUCTO],tb_Productos[Descuento]),"")</f>
        <v/>
      </c>
      <c r="F161" s="5" t="str">
        <f>IFERROR(_xlfn.XLOOKUP(LEFT(tb_lectura[[#This Row],[ID]],7),tb_Productos[ID PRODUCTO],tb_Productos[MARCA]),"")</f>
        <v/>
      </c>
      <c r="G16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1" s="10">
        <f>1</f>
        <v>1</v>
      </c>
    </row>
    <row r="162" spans="2:8" ht="16.5" x14ac:dyDescent="0.3">
      <c r="B162" s="11"/>
      <c r="C162" s="5" t="str">
        <f>IFERROR(_xlfn.XLOOKUP(LEFT(tb_lectura[[#This Row],[ID]],7),tb_Productos[ID PRODUCTO],tb_Productos[DESCRIPCION]),"")</f>
        <v/>
      </c>
      <c r="D162" s="15" t="str">
        <f>IFERROR(_xlfn.XLOOKUP(LEFT(tb_lectura[[#This Row],[ID]],7),tb_Productos[ID PRODUCTO],tb_Productos[precio unitario]),"")</f>
        <v/>
      </c>
      <c r="E162" s="10" t="str">
        <f>IFERROR(_xlfn.XLOOKUP(LEFT(tb_lectura[[#This Row],[ID]],7),tb_Productos[ID PRODUCTO],tb_Productos[Descuento]),"")</f>
        <v/>
      </c>
      <c r="F162" s="5" t="str">
        <f>IFERROR(_xlfn.XLOOKUP(LEFT(tb_lectura[[#This Row],[ID]],7),tb_Productos[ID PRODUCTO],tb_Productos[MARCA]),"")</f>
        <v/>
      </c>
      <c r="G16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2" s="10">
        <f>1</f>
        <v>1</v>
      </c>
    </row>
    <row r="163" spans="2:8" ht="16.5" x14ac:dyDescent="0.3">
      <c r="B163" s="11"/>
      <c r="C163" s="5" t="str">
        <f>IFERROR(_xlfn.XLOOKUP(LEFT(tb_lectura[[#This Row],[ID]],7),tb_Productos[ID PRODUCTO],tb_Productos[DESCRIPCION]),"")</f>
        <v/>
      </c>
      <c r="D163" s="15" t="str">
        <f>IFERROR(_xlfn.XLOOKUP(LEFT(tb_lectura[[#This Row],[ID]],7),tb_Productos[ID PRODUCTO],tb_Productos[precio unitario]),"")</f>
        <v/>
      </c>
      <c r="E163" s="10" t="str">
        <f>IFERROR(_xlfn.XLOOKUP(LEFT(tb_lectura[[#This Row],[ID]],7),tb_Productos[ID PRODUCTO],tb_Productos[Descuento]),"")</f>
        <v/>
      </c>
      <c r="F163" s="5" t="str">
        <f>IFERROR(_xlfn.XLOOKUP(LEFT(tb_lectura[[#This Row],[ID]],7),tb_Productos[ID PRODUCTO],tb_Productos[MARCA]),"")</f>
        <v/>
      </c>
      <c r="G16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3" s="10">
        <f>1</f>
        <v>1</v>
      </c>
    </row>
    <row r="164" spans="2:8" ht="16.5" x14ac:dyDescent="0.3">
      <c r="B164" s="11"/>
      <c r="C164" s="5" t="str">
        <f>IFERROR(_xlfn.XLOOKUP(LEFT(tb_lectura[[#This Row],[ID]],7),tb_Productos[ID PRODUCTO],tb_Productos[DESCRIPCION]),"")</f>
        <v/>
      </c>
      <c r="D164" s="15" t="str">
        <f>IFERROR(_xlfn.XLOOKUP(LEFT(tb_lectura[[#This Row],[ID]],7),tb_Productos[ID PRODUCTO],tb_Productos[precio unitario]),"")</f>
        <v/>
      </c>
      <c r="E164" s="10" t="str">
        <f>IFERROR(_xlfn.XLOOKUP(LEFT(tb_lectura[[#This Row],[ID]],7),tb_Productos[ID PRODUCTO],tb_Productos[Descuento]),"")</f>
        <v/>
      </c>
      <c r="F164" s="5" t="str">
        <f>IFERROR(_xlfn.XLOOKUP(LEFT(tb_lectura[[#This Row],[ID]],7),tb_Productos[ID PRODUCTO],tb_Productos[MARCA]),"")</f>
        <v/>
      </c>
      <c r="G16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4" s="10">
        <f>1</f>
        <v>1</v>
      </c>
    </row>
    <row r="165" spans="2:8" ht="16.5" x14ac:dyDescent="0.3">
      <c r="B165" s="11"/>
      <c r="C165" s="5" t="str">
        <f>IFERROR(_xlfn.XLOOKUP(LEFT(tb_lectura[[#This Row],[ID]],7),tb_Productos[ID PRODUCTO],tb_Productos[DESCRIPCION]),"")</f>
        <v/>
      </c>
      <c r="D165" s="15" t="str">
        <f>IFERROR(_xlfn.XLOOKUP(LEFT(tb_lectura[[#This Row],[ID]],7),tb_Productos[ID PRODUCTO],tb_Productos[precio unitario]),"")</f>
        <v/>
      </c>
      <c r="E165" s="10" t="str">
        <f>IFERROR(_xlfn.XLOOKUP(LEFT(tb_lectura[[#This Row],[ID]],7),tb_Productos[ID PRODUCTO],tb_Productos[Descuento]),"")</f>
        <v/>
      </c>
      <c r="F165" s="5" t="str">
        <f>IFERROR(_xlfn.XLOOKUP(LEFT(tb_lectura[[#This Row],[ID]],7),tb_Productos[ID PRODUCTO],tb_Productos[MARCA]),"")</f>
        <v/>
      </c>
      <c r="G16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5" s="10">
        <f>1</f>
        <v>1</v>
      </c>
    </row>
    <row r="166" spans="2:8" ht="16.5" x14ac:dyDescent="0.3">
      <c r="B166" s="11"/>
      <c r="C166" s="5" t="str">
        <f>IFERROR(_xlfn.XLOOKUP(LEFT(tb_lectura[[#This Row],[ID]],7),tb_Productos[ID PRODUCTO],tb_Productos[DESCRIPCION]),"")</f>
        <v/>
      </c>
      <c r="D166" s="15" t="str">
        <f>IFERROR(_xlfn.XLOOKUP(LEFT(tb_lectura[[#This Row],[ID]],7),tb_Productos[ID PRODUCTO],tb_Productos[precio unitario]),"")</f>
        <v/>
      </c>
      <c r="E166" s="10" t="str">
        <f>IFERROR(_xlfn.XLOOKUP(LEFT(tb_lectura[[#This Row],[ID]],7),tb_Productos[ID PRODUCTO],tb_Productos[Descuento]),"")</f>
        <v/>
      </c>
      <c r="F166" s="5" t="str">
        <f>IFERROR(_xlfn.XLOOKUP(LEFT(tb_lectura[[#This Row],[ID]],7),tb_Productos[ID PRODUCTO],tb_Productos[MARCA]),"")</f>
        <v/>
      </c>
      <c r="G16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6" s="10">
        <f>1</f>
        <v>1</v>
      </c>
    </row>
    <row r="167" spans="2:8" ht="16.5" x14ac:dyDescent="0.3">
      <c r="B167" s="11"/>
      <c r="C167" s="5" t="str">
        <f>IFERROR(_xlfn.XLOOKUP(LEFT(tb_lectura[[#This Row],[ID]],7),tb_Productos[ID PRODUCTO],tb_Productos[DESCRIPCION]),"")</f>
        <v/>
      </c>
      <c r="D167" s="15" t="str">
        <f>IFERROR(_xlfn.XLOOKUP(LEFT(tb_lectura[[#This Row],[ID]],7),tb_Productos[ID PRODUCTO],tb_Productos[precio unitario]),"")</f>
        <v/>
      </c>
      <c r="E167" s="10" t="str">
        <f>IFERROR(_xlfn.XLOOKUP(LEFT(tb_lectura[[#This Row],[ID]],7),tb_Productos[ID PRODUCTO],tb_Productos[Descuento]),"")</f>
        <v/>
      </c>
      <c r="F167" s="5" t="str">
        <f>IFERROR(_xlfn.XLOOKUP(LEFT(tb_lectura[[#This Row],[ID]],7),tb_Productos[ID PRODUCTO],tb_Productos[MARCA]),"")</f>
        <v/>
      </c>
      <c r="G16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7" s="10">
        <f>1</f>
        <v>1</v>
      </c>
    </row>
    <row r="168" spans="2:8" ht="16.5" x14ac:dyDescent="0.3">
      <c r="B168" s="11"/>
      <c r="C168" s="5" t="str">
        <f>IFERROR(_xlfn.XLOOKUP(LEFT(tb_lectura[[#This Row],[ID]],7),tb_Productos[ID PRODUCTO],tb_Productos[DESCRIPCION]),"")</f>
        <v/>
      </c>
      <c r="D168" s="15" t="str">
        <f>IFERROR(_xlfn.XLOOKUP(LEFT(tb_lectura[[#This Row],[ID]],7),tb_Productos[ID PRODUCTO],tb_Productos[precio unitario]),"")</f>
        <v/>
      </c>
      <c r="E168" s="10" t="str">
        <f>IFERROR(_xlfn.XLOOKUP(LEFT(tb_lectura[[#This Row],[ID]],7),tb_Productos[ID PRODUCTO],tb_Productos[Descuento]),"")</f>
        <v/>
      </c>
      <c r="F168" s="5" t="str">
        <f>IFERROR(_xlfn.XLOOKUP(LEFT(tb_lectura[[#This Row],[ID]],7),tb_Productos[ID PRODUCTO],tb_Productos[MARCA]),"")</f>
        <v/>
      </c>
      <c r="G16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8" s="10">
        <f>1</f>
        <v>1</v>
      </c>
    </row>
    <row r="169" spans="2:8" ht="16.5" x14ac:dyDescent="0.3">
      <c r="B169" s="11"/>
      <c r="C169" s="5" t="str">
        <f>IFERROR(_xlfn.XLOOKUP(LEFT(tb_lectura[[#This Row],[ID]],7),tb_Productos[ID PRODUCTO],tb_Productos[DESCRIPCION]),"")</f>
        <v/>
      </c>
      <c r="D169" s="15" t="str">
        <f>IFERROR(_xlfn.XLOOKUP(LEFT(tb_lectura[[#This Row],[ID]],7),tb_Productos[ID PRODUCTO],tb_Productos[precio unitario]),"")</f>
        <v/>
      </c>
      <c r="E169" s="10" t="str">
        <f>IFERROR(_xlfn.XLOOKUP(LEFT(tb_lectura[[#This Row],[ID]],7),tb_Productos[ID PRODUCTO],tb_Productos[Descuento]),"")</f>
        <v/>
      </c>
      <c r="F169" s="5" t="str">
        <f>IFERROR(_xlfn.XLOOKUP(LEFT(tb_lectura[[#This Row],[ID]],7),tb_Productos[ID PRODUCTO],tb_Productos[MARCA]),"")</f>
        <v/>
      </c>
      <c r="G16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9" s="10">
        <f>1</f>
        <v>1</v>
      </c>
    </row>
    <row r="170" spans="2:8" ht="16.5" x14ac:dyDescent="0.3">
      <c r="B170" s="11"/>
      <c r="C170" s="5" t="str">
        <f>IFERROR(_xlfn.XLOOKUP(LEFT(tb_lectura[[#This Row],[ID]],7),tb_Productos[ID PRODUCTO],tb_Productos[DESCRIPCION]),"")</f>
        <v/>
      </c>
      <c r="D170" s="15" t="str">
        <f>IFERROR(_xlfn.XLOOKUP(LEFT(tb_lectura[[#This Row],[ID]],7),tb_Productos[ID PRODUCTO],tb_Productos[precio unitario]),"")</f>
        <v/>
      </c>
      <c r="E170" s="10" t="str">
        <f>IFERROR(_xlfn.XLOOKUP(LEFT(tb_lectura[[#This Row],[ID]],7),tb_Productos[ID PRODUCTO],tb_Productos[Descuento]),"")</f>
        <v/>
      </c>
      <c r="F170" s="5" t="str">
        <f>IFERROR(_xlfn.XLOOKUP(LEFT(tb_lectura[[#This Row],[ID]],7),tb_Productos[ID PRODUCTO],tb_Productos[MARCA]),"")</f>
        <v/>
      </c>
      <c r="G17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0" s="10">
        <f>1</f>
        <v>1</v>
      </c>
    </row>
    <row r="171" spans="2:8" ht="16.5" x14ac:dyDescent="0.3">
      <c r="B171" s="11"/>
      <c r="C171" s="5" t="str">
        <f>IFERROR(_xlfn.XLOOKUP(LEFT(tb_lectura[[#This Row],[ID]],7),tb_Productos[ID PRODUCTO],tb_Productos[DESCRIPCION]),"")</f>
        <v/>
      </c>
      <c r="D171" s="15" t="str">
        <f>IFERROR(_xlfn.XLOOKUP(LEFT(tb_lectura[[#This Row],[ID]],7),tb_Productos[ID PRODUCTO],tb_Productos[precio unitario]),"")</f>
        <v/>
      </c>
      <c r="E171" s="10" t="str">
        <f>IFERROR(_xlfn.XLOOKUP(LEFT(tb_lectura[[#This Row],[ID]],7),tb_Productos[ID PRODUCTO],tb_Productos[Descuento]),"")</f>
        <v/>
      </c>
      <c r="F171" s="5" t="str">
        <f>IFERROR(_xlfn.XLOOKUP(LEFT(tb_lectura[[#This Row],[ID]],7),tb_Productos[ID PRODUCTO],tb_Productos[MARCA]),"")</f>
        <v/>
      </c>
      <c r="G17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1" s="10">
        <f>1</f>
        <v>1</v>
      </c>
    </row>
    <row r="172" spans="2:8" ht="16.5" x14ac:dyDescent="0.3">
      <c r="B172" s="11"/>
      <c r="C172" s="5" t="str">
        <f>IFERROR(_xlfn.XLOOKUP(LEFT(tb_lectura[[#This Row],[ID]],7),tb_Productos[ID PRODUCTO],tb_Productos[DESCRIPCION]),"")</f>
        <v/>
      </c>
      <c r="D172" s="15" t="str">
        <f>IFERROR(_xlfn.XLOOKUP(LEFT(tb_lectura[[#This Row],[ID]],7),tb_Productos[ID PRODUCTO],tb_Productos[precio unitario]),"")</f>
        <v/>
      </c>
      <c r="E172" s="10" t="str">
        <f>IFERROR(_xlfn.XLOOKUP(LEFT(tb_lectura[[#This Row],[ID]],7),tb_Productos[ID PRODUCTO],tb_Productos[Descuento]),"")</f>
        <v/>
      </c>
      <c r="F172" s="5" t="str">
        <f>IFERROR(_xlfn.XLOOKUP(LEFT(tb_lectura[[#This Row],[ID]],7),tb_Productos[ID PRODUCTO],tb_Productos[MARCA]),"")</f>
        <v/>
      </c>
      <c r="G17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2" s="10">
        <f>1</f>
        <v>1</v>
      </c>
    </row>
    <row r="173" spans="2:8" ht="16.5" x14ac:dyDescent="0.3">
      <c r="B173" s="11"/>
      <c r="C173" s="5" t="str">
        <f>IFERROR(_xlfn.XLOOKUP(LEFT(tb_lectura[[#This Row],[ID]],7),tb_Productos[ID PRODUCTO],tb_Productos[DESCRIPCION]),"")</f>
        <v/>
      </c>
      <c r="D173" s="15" t="str">
        <f>IFERROR(_xlfn.XLOOKUP(LEFT(tb_lectura[[#This Row],[ID]],7),tb_Productos[ID PRODUCTO],tb_Productos[precio unitario]),"")</f>
        <v/>
      </c>
      <c r="E173" s="10" t="str">
        <f>IFERROR(_xlfn.XLOOKUP(LEFT(tb_lectura[[#This Row],[ID]],7),tb_Productos[ID PRODUCTO],tb_Productos[Descuento]),"")</f>
        <v/>
      </c>
      <c r="F173" s="5" t="str">
        <f>IFERROR(_xlfn.XLOOKUP(LEFT(tb_lectura[[#This Row],[ID]],7),tb_Productos[ID PRODUCTO],tb_Productos[MARCA]),"")</f>
        <v/>
      </c>
      <c r="G17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3" s="10">
        <f>1</f>
        <v>1</v>
      </c>
    </row>
    <row r="174" spans="2:8" ht="16.5" x14ac:dyDescent="0.3">
      <c r="B174" s="11"/>
      <c r="C174" s="5" t="str">
        <f>IFERROR(_xlfn.XLOOKUP(LEFT(tb_lectura[[#This Row],[ID]],7),tb_Productos[ID PRODUCTO],tb_Productos[DESCRIPCION]),"")</f>
        <v/>
      </c>
      <c r="D174" s="15" t="str">
        <f>IFERROR(_xlfn.XLOOKUP(LEFT(tb_lectura[[#This Row],[ID]],7),tb_Productos[ID PRODUCTO],tb_Productos[precio unitario]),"")</f>
        <v/>
      </c>
      <c r="E174" s="10" t="str">
        <f>IFERROR(_xlfn.XLOOKUP(LEFT(tb_lectura[[#This Row],[ID]],7),tb_Productos[ID PRODUCTO],tb_Productos[Descuento]),"")</f>
        <v/>
      </c>
      <c r="F174" s="5" t="str">
        <f>IFERROR(_xlfn.XLOOKUP(LEFT(tb_lectura[[#This Row],[ID]],7),tb_Productos[ID PRODUCTO],tb_Productos[MARCA]),"")</f>
        <v/>
      </c>
      <c r="G17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4" s="10">
        <f>1</f>
        <v>1</v>
      </c>
    </row>
    <row r="175" spans="2:8" ht="16.5" x14ac:dyDescent="0.3">
      <c r="B175" s="11"/>
      <c r="C175" s="5" t="str">
        <f>IFERROR(_xlfn.XLOOKUP(LEFT(tb_lectura[[#This Row],[ID]],7),tb_Productos[ID PRODUCTO],tb_Productos[DESCRIPCION]),"")</f>
        <v/>
      </c>
      <c r="D175" s="15" t="str">
        <f>IFERROR(_xlfn.XLOOKUP(LEFT(tb_lectura[[#This Row],[ID]],7),tb_Productos[ID PRODUCTO],tb_Productos[precio unitario]),"")</f>
        <v/>
      </c>
      <c r="E175" s="10" t="str">
        <f>IFERROR(_xlfn.XLOOKUP(LEFT(tb_lectura[[#This Row],[ID]],7),tb_Productos[ID PRODUCTO],tb_Productos[Descuento]),"")</f>
        <v/>
      </c>
      <c r="F175" s="5" t="str">
        <f>IFERROR(_xlfn.XLOOKUP(LEFT(tb_lectura[[#This Row],[ID]],7),tb_Productos[ID PRODUCTO],tb_Productos[MARCA]),"")</f>
        <v/>
      </c>
      <c r="G17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5" s="10">
        <f>1</f>
        <v>1</v>
      </c>
    </row>
    <row r="176" spans="2:8" ht="16.5" x14ac:dyDescent="0.3">
      <c r="B176" s="11"/>
      <c r="C176" s="5" t="str">
        <f>IFERROR(_xlfn.XLOOKUP(LEFT(tb_lectura[[#This Row],[ID]],7),tb_Productos[ID PRODUCTO],tb_Productos[DESCRIPCION]),"")</f>
        <v/>
      </c>
      <c r="D176" s="15" t="str">
        <f>IFERROR(_xlfn.XLOOKUP(LEFT(tb_lectura[[#This Row],[ID]],7),tb_Productos[ID PRODUCTO],tb_Productos[precio unitario]),"")</f>
        <v/>
      </c>
      <c r="E176" s="10" t="str">
        <f>IFERROR(_xlfn.XLOOKUP(LEFT(tb_lectura[[#This Row],[ID]],7),tb_Productos[ID PRODUCTO],tb_Productos[Descuento]),"")</f>
        <v/>
      </c>
      <c r="F176" s="5" t="str">
        <f>IFERROR(_xlfn.XLOOKUP(LEFT(tb_lectura[[#This Row],[ID]],7),tb_Productos[ID PRODUCTO],tb_Productos[MARCA]),"")</f>
        <v/>
      </c>
      <c r="G17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6" s="10">
        <f>1</f>
        <v>1</v>
      </c>
    </row>
    <row r="177" spans="2:8" ht="16.5" x14ac:dyDescent="0.3">
      <c r="B177" s="11"/>
      <c r="C177" s="5" t="str">
        <f>IFERROR(_xlfn.XLOOKUP(LEFT(tb_lectura[[#This Row],[ID]],7),tb_Productos[ID PRODUCTO],tb_Productos[DESCRIPCION]),"")</f>
        <v/>
      </c>
      <c r="D177" s="15" t="str">
        <f>IFERROR(_xlfn.XLOOKUP(LEFT(tb_lectura[[#This Row],[ID]],7),tb_Productos[ID PRODUCTO],tb_Productos[precio unitario]),"")</f>
        <v/>
      </c>
      <c r="E177" s="10" t="str">
        <f>IFERROR(_xlfn.XLOOKUP(LEFT(tb_lectura[[#This Row],[ID]],7),tb_Productos[ID PRODUCTO],tb_Productos[Descuento]),"")</f>
        <v/>
      </c>
      <c r="F177" s="5" t="str">
        <f>IFERROR(_xlfn.XLOOKUP(LEFT(tb_lectura[[#This Row],[ID]],7),tb_Productos[ID PRODUCTO],tb_Productos[MARCA]),"")</f>
        <v/>
      </c>
      <c r="G17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7" s="10">
        <f>1</f>
        <v>1</v>
      </c>
    </row>
    <row r="178" spans="2:8" ht="16.5" x14ac:dyDescent="0.3">
      <c r="B178" s="11"/>
      <c r="C178" s="5" t="str">
        <f>IFERROR(_xlfn.XLOOKUP(LEFT(tb_lectura[[#This Row],[ID]],7),tb_Productos[ID PRODUCTO],tb_Productos[DESCRIPCION]),"")</f>
        <v/>
      </c>
      <c r="D178" s="15" t="str">
        <f>IFERROR(_xlfn.XLOOKUP(LEFT(tb_lectura[[#This Row],[ID]],7),tb_Productos[ID PRODUCTO],tb_Productos[precio unitario]),"")</f>
        <v/>
      </c>
      <c r="E178" s="10" t="str">
        <f>IFERROR(_xlfn.XLOOKUP(LEFT(tb_lectura[[#This Row],[ID]],7),tb_Productos[ID PRODUCTO],tb_Productos[Descuento]),"")</f>
        <v/>
      </c>
      <c r="F178" s="5" t="str">
        <f>IFERROR(_xlfn.XLOOKUP(LEFT(tb_lectura[[#This Row],[ID]],7),tb_Productos[ID PRODUCTO],tb_Productos[MARCA]),"")</f>
        <v/>
      </c>
      <c r="G17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8" s="10">
        <f>1</f>
        <v>1</v>
      </c>
    </row>
    <row r="179" spans="2:8" ht="16.5" x14ac:dyDescent="0.3">
      <c r="B179" s="11"/>
      <c r="C179" s="5" t="str">
        <f>IFERROR(_xlfn.XLOOKUP(LEFT(tb_lectura[[#This Row],[ID]],7),tb_Productos[ID PRODUCTO],tb_Productos[DESCRIPCION]),"")</f>
        <v/>
      </c>
      <c r="D179" s="15" t="str">
        <f>IFERROR(_xlfn.XLOOKUP(LEFT(tb_lectura[[#This Row],[ID]],7),tb_Productos[ID PRODUCTO],tb_Productos[precio unitario]),"")</f>
        <v/>
      </c>
      <c r="E179" s="10" t="str">
        <f>IFERROR(_xlfn.XLOOKUP(LEFT(tb_lectura[[#This Row],[ID]],7),tb_Productos[ID PRODUCTO],tb_Productos[Descuento]),"")</f>
        <v/>
      </c>
      <c r="F179" s="5" t="str">
        <f>IFERROR(_xlfn.XLOOKUP(LEFT(tb_lectura[[#This Row],[ID]],7),tb_Productos[ID PRODUCTO],tb_Productos[MARCA]),"")</f>
        <v/>
      </c>
      <c r="G17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9" s="10">
        <f>1</f>
        <v>1</v>
      </c>
    </row>
    <row r="180" spans="2:8" ht="16.5" x14ac:dyDescent="0.3">
      <c r="B180" s="11"/>
      <c r="C180" s="5" t="str">
        <f>IFERROR(_xlfn.XLOOKUP(LEFT(tb_lectura[[#This Row],[ID]],7),tb_Productos[ID PRODUCTO],tb_Productos[DESCRIPCION]),"")</f>
        <v/>
      </c>
      <c r="D180" s="15" t="str">
        <f>IFERROR(_xlfn.XLOOKUP(LEFT(tb_lectura[[#This Row],[ID]],7),tb_Productos[ID PRODUCTO],tb_Productos[precio unitario]),"")</f>
        <v/>
      </c>
      <c r="E180" s="10" t="str">
        <f>IFERROR(_xlfn.XLOOKUP(LEFT(tb_lectura[[#This Row],[ID]],7),tb_Productos[ID PRODUCTO],tb_Productos[Descuento]),"")</f>
        <v/>
      </c>
      <c r="F180" s="5" t="str">
        <f>IFERROR(_xlfn.XLOOKUP(LEFT(tb_lectura[[#This Row],[ID]],7),tb_Productos[ID PRODUCTO],tb_Productos[MARCA]),"")</f>
        <v/>
      </c>
      <c r="G18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0" s="10">
        <f>1</f>
        <v>1</v>
      </c>
    </row>
    <row r="181" spans="2:8" ht="16.5" x14ac:dyDescent="0.3">
      <c r="B181" s="11"/>
      <c r="C181" s="5" t="str">
        <f>IFERROR(_xlfn.XLOOKUP(LEFT(tb_lectura[[#This Row],[ID]],7),tb_Productos[ID PRODUCTO],tb_Productos[DESCRIPCION]),"")</f>
        <v/>
      </c>
      <c r="D181" s="15" t="str">
        <f>IFERROR(_xlfn.XLOOKUP(LEFT(tb_lectura[[#This Row],[ID]],7),tb_Productos[ID PRODUCTO],tb_Productos[precio unitario]),"")</f>
        <v/>
      </c>
      <c r="E181" s="10" t="str">
        <f>IFERROR(_xlfn.XLOOKUP(LEFT(tb_lectura[[#This Row],[ID]],7),tb_Productos[ID PRODUCTO],tb_Productos[Descuento]),"")</f>
        <v/>
      </c>
      <c r="F181" s="5" t="str">
        <f>IFERROR(_xlfn.XLOOKUP(LEFT(tb_lectura[[#This Row],[ID]],7),tb_Productos[ID PRODUCTO],tb_Productos[MARCA]),"")</f>
        <v/>
      </c>
      <c r="G18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1" s="10">
        <f>1</f>
        <v>1</v>
      </c>
    </row>
    <row r="182" spans="2:8" ht="16.5" x14ac:dyDescent="0.3">
      <c r="B182" s="11"/>
      <c r="C182" s="5" t="str">
        <f>IFERROR(_xlfn.XLOOKUP(LEFT(tb_lectura[[#This Row],[ID]],7),tb_Productos[ID PRODUCTO],tb_Productos[DESCRIPCION]),"")</f>
        <v/>
      </c>
      <c r="D182" s="15" t="str">
        <f>IFERROR(_xlfn.XLOOKUP(LEFT(tb_lectura[[#This Row],[ID]],7),tb_Productos[ID PRODUCTO],tb_Productos[precio unitario]),"")</f>
        <v/>
      </c>
      <c r="E182" s="10" t="str">
        <f>IFERROR(_xlfn.XLOOKUP(LEFT(tb_lectura[[#This Row],[ID]],7),tb_Productos[ID PRODUCTO],tb_Productos[Descuento]),"")</f>
        <v/>
      </c>
      <c r="F182" s="5" t="str">
        <f>IFERROR(_xlfn.XLOOKUP(LEFT(tb_lectura[[#This Row],[ID]],7),tb_Productos[ID PRODUCTO],tb_Productos[MARCA]),"")</f>
        <v/>
      </c>
      <c r="G18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2" s="10">
        <f>1</f>
        <v>1</v>
      </c>
    </row>
    <row r="183" spans="2:8" ht="16.5" x14ac:dyDescent="0.3">
      <c r="B183" s="11"/>
      <c r="C183" s="5" t="str">
        <f>IFERROR(_xlfn.XLOOKUP(LEFT(tb_lectura[[#This Row],[ID]],7),tb_Productos[ID PRODUCTO],tb_Productos[DESCRIPCION]),"")</f>
        <v/>
      </c>
      <c r="D183" s="15" t="str">
        <f>IFERROR(_xlfn.XLOOKUP(LEFT(tb_lectura[[#This Row],[ID]],7),tb_Productos[ID PRODUCTO],tb_Productos[precio unitario]),"")</f>
        <v/>
      </c>
      <c r="E183" s="10" t="str">
        <f>IFERROR(_xlfn.XLOOKUP(LEFT(tb_lectura[[#This Row],[ID]],7),tb_Productos[ID PRODUCTO],tb_Productos[Descuento]),"")</f>
        <v/>
      </c>
      <c r="F183" s="5" t="str">
        <f>IFERROR(_xlfn.XLOOKUP(LEFT(tb_lectura[[#This Row],[ID]],7),tb_Productos[ID PRODUCTO],tb_Productos[MARCA]),"")</f>
        <v/>
      </c>
      <c r="G18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3" s="10">
        <f>1</f>
        <v>1</v>
      </c>
    </row>
    <row r="184" spans="2:8" ht="16.5" x14ac:dyDescent="0.3">
      <c r="B184" s="11"/>
      <c r="C184" s="5" t="str">
        <f>IFERROR(_xlfn.XLOOKUP(LEFT(tb_lectura[[#This Row],[ID]],7),tb_Productos[ID PRODUCTO],tb_Productos[DESCRIPCION]),"")</f>
        <v/>
      </c>
      <c r="D184" s="15" t="str">
        <f>IFERROR(_xlfn.XLOOKUP(LEFT(tb_lectura[[#This Row],[ID]],7),tb_Productos[ID PRODUCTO],tb_Productos[precio unitario]),"")</f>
        <v/>
      </c>
      <c r="E184" s="10" t="str">
        <f>IFERROR(_xlfn.XLOOKUP(LEFT(tb_lectura[[#This Row],[ID]],7),tb_Productos[ID PRODUCTO],tb_Productos[Descuento]),"")</f>
        <v/>
      </c>
      <c r="F184" s="5" t="str">
        <f>IFERROR(_xlfn.XLOOKUP(LEFT(tb_lectura[[#This Row],[ID]],7),tb_Productos[ID PRODUCTO],tb_Productos[MARCA]),"")</f>
        <v/>
      </c>
      <c r="G18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4" s="10">
        <f>1</f>
        <v>1</v>
      </c>
    </row>
    <row r="185" spans="2:8" ht="16.5" x14ac:dyDescent="0.3">
      <c r="B185" s="11"/>
      <c r="C185" s="5" t="str">
        <f>IFERROR(_xlfn.XLOOKUP(LEFT(tb_lectura[[#This Row],[ID]],7),tb_Productos[ID PRODUCTO],tb_Productos[DESCRIPCION]),"")</f>
        <v/>
      </c>
      <c r="D185" s="15" t="str">
        <f>IFERROR(_xlfn.XLOOKUP(LEFT(tb_lectura[[#This Row],[ID]],7),tb_Productos[ID PRODUCTO],tb_Productos[precio unitario]),"")</f>
        <v/>
      </c>
      <c r="E185" s="10" t="str">
        <f>IFERROR(_xlfn.XLOOKUP(LEFT(tb_lectura[[#This Row],[ID]],7),tb_Productos[ID PRODUCTO],tb_Productos[Descuento]),"")</f>
        <v/>
      </c>
      <c r="F185" s="5" t="str">
        <f>IFERROR(_xlfn.XLOOKUP(LEFT(tb_lectura[[#This Row],[ID]],7),tb_Productos[ID PRODUCTO],tb_Productos[MARCA]),"")</f>
        <v/>
      </c>
      <c r="G18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5" s="10">
        <f>1</f>
        <v>1</v>
      </c>
    </row>
    <row r="186" spans="2:8" ht="16.5" x14ac:dyDescent="0.3">
      <c r="B186" s="11"/>
      <c r="C186" s="5" t="str">
        <f>IFERROR(_xlfn.XLOOKUP(LEFT(tb_lectura[[#This Row],[ID]],7),tb_Productos[ID PRODUCTO],tb_Productos[DESCRIPCION]),"")</f>
        <v/>
      </c>
      <c r="D186" s="15" t="str">
        <f>IFERROR(_xlfn.XLOOKUP(LEFT(tb_lectura[[#This Row],[ID]],7),tb_Productos[ID PRODUCTO],tb_Productos[precio unitario]),"")</f>
        <v/>
      </c>
      <c r="E186" s="10" t="str">
        <f>IFERROR(_xlfn.XLOOKUP(LEFT(tb_lectura[[#This Row],[ID]],7),tb_Productos[ID PRODUCTO],tb_Productos[Descuento]),"")</f>
        <v/>
      </c>
      <c r="F186" s="5" t="str">
        <f>IFERROR(_xlfn.XLOOKUP(LEFT(tb_lectura[[#This Row],[ID]],7),tb_Productos[ID PRODUCTO],tb_Productos[MARCA]),"")</f>
        <v/>
      </c>
      <c r="G18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6" s="10">
        <f>1</f>
        <v>1</v>
      </c>
    </row>
    <row r="187" spans="2:8" ht="16.5" x14ac:dyDescent="0.3">
      <c r="B187" s="11"/>
      <c r="C187" s="5" t="str">
        <f>IFERROR(_xlfn.XLOOKUP(LEFT(tb_lectura[[#This Row],[ID]],7),tb_Productos[ID PRODUCTO],tb_Productos[DESCRIPCION]),"")</f>
        <v/>
      </c>
      <c r="D187" s="15" t="str">
        <f>IFERROR(_xlfn.XLOOKUP(LEFT(tb_lectura[[#This Row],[ID]],7),tb_Productos[ID PRODUCTO],tb_Productos[precio unitario]),"")</f>
        <v/>
      </c>
      <c r="E187" s="10" t="str">
        <f>IFERROR(_xlfn.XLOOKUP(LEFT(tb_lectura[[#This Row],[ID]],7),tb_Productos[ID PRODUCTO],tb_Productos[Descuento]),"")</f>
        <v/>
      </c>
      <c r="F187" s="5" t="str">
        <f>IFERROR(_xlfn.XLOOKUP(LEFT(tb_lectura[[#This Row],[ID]],7),tb_Productos[ID PRODUCTO],tb_Productos[MARCA]),"")</f>
        <v/>
      </c>
      <c r="G18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7" s="10">
        <f>1</f>
        <v>1</v>
      </c>
    </row>
    <row r="188" spans="2:8" ht="16.5" x14ac:dyDescent="0.3">
      <c r="B188" s="11"/>
      <c r="C188" s="5" t="str">
        <f>IFERROR(_xlfn.XLOOKUP(LEFT(tb_lectura[[#This Row],[ID]],7),tb_Productos[ID PRODUCTO],tb_Productos[DESCRIPCION]),"")</f>
        <v/>
      </c>
      <c r="D188" s="15" t="str">
        <f>IFERROR(_xlfn.XLOOKUP(LEFT(tb_lectura[[#This Row],[ID]],7),tb_Productos[ID PRODUCTO],tb_Productos[precio unitario]),"")</f>
        <v/>
      </c>
      <c r="E188" s="10" t="str">
        <f>IFERROR(_xlfn.XLOOKUP(LEFT(tb_lectura[[#This Row],[ID]],7),tb_Productos[ID PRODUCTO],tb_Productos[Descuento]),"")</f>
        <v/>
      </c>
      <c r="F188" s="5" t="str">
        <f>IFERROR(_xlfn.XLOOKUP(LEFT(tb_lectura[[#This Row],[ID]],7),tb_Productos[ID PRODUCTO],tb_Productos[MARCA]),"")</f>
        <v/>
      </c>
      <c r="G18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8" s="10">
        <f>1</f>
        <v>1</v>
      </c>
    </row>
    <row r="189" spans="2:8" ht="16.5" x14ac:dyDescent="0.3">
      <c r="B189" s="11"/>
      <c r="C189" s="5" t="str">
        <f>IFERROR(_xlfn.XLOOKUP(LEFT(tb_lectura[[#This Row],[ID]],7),tb_Productos[ID PRODUCTO],tb_Productos[DESCRIPCION]),"")</f>
        <v/>
      </c>
      <c r="D189" s="15" t="str">
        <f>IFERROR(_xlfn.XLOOKUP(LEFT(tb_lectura[[#This Row],[ID]],7),tb_Productos[ID PRODUCTO],tb_Productos[precio unitario]),"")</f>
        <v/>
      </c>
      <c r="E189" s="10" t="str">
        <f>IFERROR(_xlfn.XLOOKUP(LEFT(tb_lectura[[#This Row],[ID]],7),tb_Productos[ID PRODUCTO],tb_Productos[Descuento]),"")</f>
        <v/>
      </c>
      <c r="F189" s="5" t="str">
        <f>IFERROR(_xlfn.XLOOKUP(LEFT(tb_lectura[[#This Row],[ID]],7),tb_Productos[ID PRODUCTO],tb_Productos[MARCA]),"")</f>
        <v/>
      </c>
      <c r="G18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9" s="10">
        <f>1</f>
        <v>1</v>
      </c>
    </row>
    <row r="190" spans="2:8" ht="16.5" x14ac:dyDescent="0.3">
      <c r="B190" s="11"/>
      <c r="C190" s="5" t="str">
        <f>IFERROR(_xlfn.XLOOKUP(LEFT(tb_lectura[[#This Row],[ID]],7),tb_Productos[ID PRODUCTO],tb_Productos[DESCRIPCION]),"")</f>
        <v/>
      </c>
      <c r="D190" s="15" t="str">
        <f>IFERROR(_xlfn.XLOOKUP(LEFT(tb_lectura[[#This Row],[ID]],7),tb_Productos[ID PRODUCTO],tb_Productos[precio unitario]),"")</f>
        <v/>
      </c>
      <c r="E190" s="10" t="str">
        <f>IFERROR(_xlfn.XLOOKUP(LEFT(tb_lectura[[#This Row],[ID]],7),tb_Productos[ID PRODUCTO],tb_Productos[Descuento]),"")</f>
        <v/>
      </c>
      <c r="F190" s="5" t="str">
        <f>IFERROR(_xlfn.XLOOKUP(LEFT(tb_lectura[[#This Row],[ID]],7),tb_Productos[ID PRODUCTO],tb_Productos[MARCA]),"")</f>
        <v/>
      </c>
      <c r="G19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0" s="10">
        <f>1</f>
        <v>1</v>
      </c>
    </row>
    <row r="191" spans="2:8" ht="16.5" x14ac:dyDescent="0.3">
      <c r="B191" s="11"/>
      <c r="C191" s="5" t="str">
        <f>IFERROR(_xlfn.XLOOKUP(LEFT(tb_lectura[[#This Row],[ID]],7),tb_Productos[ID PRODUCTO],tb_Productos[DESCRIPCION]),"")</f>
        <v/>
      </c>
      <c r="D191" s="15" t="str">
        <f>IFERROR(_xlfn.XLOOKUP(LEFT(tb_lectura[[#This Row],[ID]],7),tb_Productos[ID PRODUCTO],tb_Productos[precio unitario]),"")</f>
        <v/>
      </c>
      <c r="E191" s="10" t="str">
        <f>IFERROR(_xlfn.XLOOKUP(LEFT(tb_lectura[[#This Row],[ID]],7),tb_Productos[ID PRODUCTO],tb_Productos[Descuento]),"")</f>
        <v/>
      </c>
      <c r="F191" s="5" t="str">
        <f>IFERROR(_xlfn.XLOOKUP(LEFT(tb_lectura[[#This Row],[ID]],7),tb_Productos[ID PRODUCTO],tb_Productos[MARCA]),"")</f>
        <v/>
      </c>
      <c r="G19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1" s="10">
        <f>1</f>
        <v>1</v>
      </c>
    </row>
    <row r="192" spans="2:8" ht="16.5" x14ac:dyDescent="0.3">
      <c r="B192" s="11"/>
      <c r="C192" s="5" t="str">
        <f>IFERROR(_xlfn.XLOOKUP(LEFT(tb_lectura[[#This Row],[ID]],7),tb_Productos[ID PRODUCTO],tb_Productos[DESCRIPCION]),"")</f>
        <v/>
      </c>
      <c r="D192" s="15" t="str">
        <f>IFERROR(_xlfn.XLOOKUP(LEFT(tb_lectura[[#This Row],[ID]],7),tb_Productos[ID PRODUCTO],tb_Productos[precio unitario]),"")</f>
        <v/>
      </c>
      <c r="E192" s="10" t="str">
        <f>IFERROR(_xlfn.XLOOKUP(LEFT(tb_lectura[[#This Row],[ID]],7),tb_Productos[ID PRODUCTO],tb_Productos[Descuento]),"")</f>
        <v/>
      </c>
      <c r="F192" s="5" t="str">
        <f>IFERROR(_xlfn.XLOOKUP(LEFT(tb_lectura[[#This Row],[ID]],7),tb_Productos[ID PRODUCTO],tb_Productos[MARCA]),"")</f>
        <v/>
      </c>
      <c r="G19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2" s="10">
        <f>1</f>
        <v>1</v>
      </c>
    </row>
    <row r="193" spans="2:8" ht="16.5" x14ac:dyDescent="0.3">
      <c r="B193" s="11"/>
      <c r="C193" s="5" t="str">
        <f>IFERROR(_xlfn.XLOOKUP(LEFT(tb_lectura[[#This Row],[ID]],7),tb_Productos[ID PRODUCTO],tb_Productos[DESCRIPCION]),"")</f>
        <v/>
      </c>
      <c r="D193" s="15" t="str">
        <f>IFERROR(_xlfn.XLOOKUP(LEFT(tb_lectura[[#This Row],[ID]],7),tb_Productos[ID PRODUCTO],tb_Productos[precio unitario]),"")</f>
        <v/>
      </c>
      <c r="E193" s="10" t="str">
        <f>IFERROR(_xlfn.XLOOKUP(LEFT(tb_lectura[[#This Row],[ID]],7),tb_Productos[ID PRODUCTO],tb_Productos[Descuento]),"")</f>
        <v/>
      </c>
      <c r="F193" s="5" t="str">
        <f>IFERROR(_xlfn.XLOOKUP(LEFT(tb_lectura[[#This Row],[ID]],7),tb_Productos[ID PRODUCTO],tb_Productos[MARCA]),"")</f>
        <v/>
      </c>
      <c r="G19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3" s="10">
        <f>1</f>
        <v>1</v>
      </c>
    </row>
    <row r="194" spans="2:8" ht="16.5" x14ac:dyDescent="0.3">
      <c r="B194" s="11"/>
      <c r="C194" s="5" t="str">
        <f>IFERROR(_xlfn.XLOOKUP(LEFT(tb_lectura[[#This Row],[ID]],7),tb_Productos[ID PRODUCTO],tb_Productos[DESCRIPCION]),"")</f>
        <v/>
      </c>
      <c r="D194" s="15" t="str">
        <f>IFERROR(_xlfn.XLOOKUP(LEFT(tb_lectura[[#This Row],[ID]],7),tb_Productos[ID PRODUCTO],tb_Productos[precio unitario]),"")</f>
        <v/>
      </c>
      <c r="E194" s="10" t="str">
        <f>IFERROR(_xlfn.XLOOKUP(LEFT(tb_lectura[[#This Row],[ID]],7),tb_Productos[ID PRODUCTO],tb_Productos[Descuento]),"")</f>
        <v/>
      </c>
      <c r="F194" s="5" t="str">
        <f>IFERROR(_xlfn.XLOOKUP(LEFT(tb_lectura[[#This Row],[ID]],7),tb_Productos[ID PRODUCTO],tb_Productos[MARCA]),"")</f>
        <v/>
      </c>
      <c r="G19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4" s="10">
        <f>1</f>
        <v>1</v>
      </c>
    </row>
    <row r="195" spans="2:8" ht="16.5" x14ac:dyDescent="0.3">
      <c r="B195" s="11"/>
      <c r="C195" s="5" t="str">
        <f>IFERROR(_xlfn.XLOOKUP(LEFT(tb_lectura[[#This Row],[ID]],7),tb_Productos[ID PRODUCTO],tb_Productos[DESCRIPCION]),"")</f>
        <v/>
      </c>
      <c r="D195" s="15" t="str">
        <f>IFERROR(_xlfn.XLOOKUP(LEFT(tb_lectura[[#This Row],[ID]],7),tb_Productos[ID PRODUCTO],tb_Productos[precio unitario]),"")</f>
        <v/>
      </c>
      <c r="E195" s="10" t="str">
        <f>IFERROR(_xlfn.XLOOKUP(LEFT(tb_lectura[[#This Row],[ID]],7),tb_Productos[ID PRODUCTO],tb_Productos[Descuento]),"")</f>
        <v/>
      </c>
      <c r="F195" s="5" t="str">
        <f>IFERROR(_xlfn.XLOOKUP(LEFT(tb_lectura[[#This Row],[ID]],7),tb_Productos[ID PRODUCTO],tb_Productos[MARCA]),"")</f>
        <v/>
      </c>
      <c r="G19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5" s="10">
        <f>1</f>
        <v>1</v>
      </c>
    </row>
    <row r="196" spans="2:8" ht="16.5" x14ac:dyDescent="0.3">
      <c r="B196" s="11"/>
      <c r="C196" s="5" t="str">
        <f>IFERROR(_xlfn.XLOOKUP(LEFT(tb_lectura[[#This Row],[ID]],7),tb_Productos[ID PRODUCTO],tb_Productos[DESCRIPCION]),"")</f>
        <v/>
      </c>
      <c r="D196" s="15" t="str">
        <f>IFERROR(_xlfn.XLOOKUP(LEFT(tb_lectura[[#This Row],[ID]],7),tb_Productos[ID PRODUCTO],tb_Productos[precio unitario]),"")</f>
        <v/>
      </c>
      <c r="E196" s="10" t="str">
        <f>IFERROR(_xlfn.XLOOKUP(LEFT(tb_lectura[[#This Row],[ID]],7),tb_Productos[ID PRODUCTO],tb_Productos[Descuento]),"")</f>
        <v/>
      </c>
      <c r="F196" s="5" t="str">
        <f>IFERROR(_xlfn.XLOOKUP(LEFT(tb_lectura[[#This Row],[ID]],7),tb_Productos[ID PRODUCTO],tb_Productos[MARCA]),"")</f>
        <v/>
      </c>
      <c r="G19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6" s="10">
        <f>1</f>
        <v>1</v>
      </c>
    </row>
    <row r="197" spans="2:8" ht="16.5" x14ac:dyDescent="0.3">
      <c r="B197" s="11"/>
      <c r="C197" s="5" t="str">
        <f>IFERROR(_xlfn.XLOOKUP(LEFT(tb_lectura[[#This Row],[ID]],7),tb_Productos[ID PRODUCTO],tb_Productos[DESCRIPCION]),"")</f>
        <v/>
      </c>
      <c r="D197" s="15" t="str">
        <f>IFERROR(_xlfn.XLOOKUP(LEFT(tb_lectura[[#This Row],[ID]],7),tb_Productos[ID PRODUCTO],tb_Productos[precio unitario]),"")</f>
        <v/>
      </c>
      <c r="E197" s="10" t="str">
        <f>IFERROR(_xlfn.XLOOKUP(LEFT(tb_lectura[[#This Row],[ID]],7),tb_Productos[ID PRODUCTO],tb_Productos[Descuento]),"")</f>
        <v/>
      </c>
      <c r="F197" s="5" t="str">
        <f>IFERROR(_xlfn.XLOOKUP(LEFT(tb_lectura[[#This Row],[ID]],7),tb_Productos[ID PRODUCTO],tb_Productos[MARCA]),"")</f>
        <v/>
      </c>
      <c r="G19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7" s="10">
        <f>1</f>
        <v>1</v>
      </c>
    </row>
    <row r="198" spans="2:8" ht="16.5" x14ac:dyDescent="0.3">
      <c r="B198" s="11"/>
      <c r="C198" s="5" t="str">
        <f>IFERROR(_xlfn.XLOOKUP(LEFT(tb_lectura[[#This Row],[ID]],7),tb_Productos[ID PRODUCTO],tb_Productos[DESCRIPCION]),"")</f>
        <v/>
      </c>
      <c r="D198" s="15" t="str">
        <f>IFERROR(_xlfn.XLOOKUP(LEFT(tb_lectura[[#This Row],[ID]],7),tb_Productos[ID PRODUCTO],tb_Productos[precio unitario]),"")</f>
        <v/>
      </c>
      <c r="E198" s="10" t="str">
        <f>IFERROR(_xlfn.XLOOKUP(LEFT(tb_lectura[[#This Row],[ID]],7),tb_Productos[ID PRODUCTO],tb_Productos[Descuento]),"")</f>
        <v/>
      </c>
      <c r="F198" s="5" t="str">
        <f>IFERROR(_xlfn.XLOOKUP(LEFT(tb_lectura[[#This Row],[ID]],7),tb_Productos[ID PRODUCTO],tb_Productos[MARCA]),"")</f>
        <v/>
      </c>
      <c r="G19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8" s="10">
        <f>1</f>
        <v>1</v>
      </c>
    </row>
    <row r="199" spans="2:8" ht="16.5" x14ac:dyDescent="0.3">
      <c r="B199" s="11"/>
      <c r="C199" s="5" t="str">
        <f>IFERROR(_xlfn.XLOOKUP(LEFT(tb_lectura[[#This Row],[ID]],7),tb_Productos[ID PRODUCTO],tb_Productos[DESCRIPCION]),"")</f>
        <v/>
      </c>
      <c r="D199" s="15" t="str">
        <f>IFERROR(_xlfn.XLOOKUP(LEFT(tb_lectura[[#This Row],[ID]],7),tb_Productos[ID PRODUCTO],tb_Productos[precio unitario]),"")</f>
        <v/>
      </c>
      <c r="E199" s="10" t="str">
        <f>IFERROR(_xlfn.XLOOKUP(LEFT(tb_lectura[[#This Row],[ID]],7),tb_Productos[ID PRODUCTO],tb_Productos[Descuento]),"")</f>
        <v/>
      </c>
      <c r="F199" s="5" t="str">
        <f>IFERROR(_xlfn.XLOOKUP(LEFT(tb_lectura[[#This Row],[ID]],7),tb_Productos[ID PRODUCTO],tb_Productos[MARCA]),"")</f>
        <v/>
      </c>
      <c r="G19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9" s="10">
        <f>1</f>
        <v>1</v>
      </c>
    </row>
    <row r="200" spans="2:8" ht="16.5" x14ac:dyDescent="0.3">
      <c r="B200" s="11"/>
      <c r="C200" s="5" t="str">
        <f>IFERROR(_xlfn.XLOOKUP(LEFT(tb_lectura[[#This Row],[ID]],7),tb_Productos[ID PRODUCTO],tb_Productos[DESCRIPCION]),"")</f>
        <v/>
      </c>
      <c r="D200" s="15" t="str">
        <f>IFERROR(_xlfn.XLOOKUP(LEFT(tb_lectura[[#This Row],[ID]],7),tb_Productos[ID PRODUCTO],tb_Productos[precio unitario]),"")</f>
        <v/>
      </c>
      <c r="E200" s="10" t="str">
        <f>IFERROR(_xlfn.XLOOKUP(LEFT(tb_lectura[[#This Row],[ID]],7),tb_Productos[ID PRODUCTO],tb_Productos[Descuento]),"")</f>
        <v/>
      </c>
      <c r="F200" s="5" t="str">
        <f>IFERROR(_xlfn.XLOOKUP(LEFT(tb_lectura[[#This Row],[ID]],7),tb_Productos[ID PRODUCTO],tb_Productos[MARCA]),"")</f>
        <v/>
      </c>
      <c r="G20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0" s="10">
        <f>1</f>
        <v>1</v>
      </c>
    </row>
    <row r="201" spans="2:8" ht="16.5" x14ac:dyDescent="0.3">
      <c r="B201" s="11"/>
      <c r="C201" s="5" t="str">
        <f>IFERROR(_xlfn.XLOOKUP(LEFT(tb_lectura[[#This Row],[ID]],7),tb_Productos[ID PRODUCTO],tb_Productos[DESCRIPCION]),"")</f>
        <v/>
      </c>
      <c r="D201" s="15" t="str">
        <f>IFERROR(_xlfn.XLOOKUP(LEFT(tb_lectura[[#This Row],[ID]],7),tb_Productos[ID PRODUCTO],tb_Productos[precio unitario]),"")</f>
        <v/>
      </c>
      <c r="E201" s="10" t="str">
        <f>IFERROR(_xlfn.XLOOKUP(LEFT(tb_lectura[[#This Row],[ID]],7),tb_Productos[ID PRODUCTO],tb_Productos[Descuento]),"")</f>
        <v/>
      </c>
      <c r="F201" s="5" t="str">
        <f>IFERROR(_xlfn.XLOOKUP(LEFT(tb_lectura[[#This Row],[ID]],7),tb_Productos[ID PRODUCTO],tb_Productos[MARCA]),"")</f>
        <v/>
      </c>
      <c r="G20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1" s="10">
        <f>1</f>
        <v>1</v>
      </c>
    </row>
    <row r="202" spans="2:8" ht="16.5" x14ac:dyDescent="0.3">
      <c r="B202" s="11"/>
      <c r="C202" s="5" t="str">
        <f>IFERROR(_xlfn.XLOOKUP(LEFT(tb_lectura[[#This Row],[ID]],7),tb_Productos[ID PRODUCTO],tb_Productos[DESCRIPCION]),"")</f>
        <v/>
      </c>
      <c r="D202" s="15" t="str">
        <f>IFERROR(_xlfn.XLOOKUP(LEFT(tb_lectura[[#This Row],[ID]],7),tb_Productos[ID PRODUCTO],tb_Productos[precio unitario]),"")</f>
        <v/>
      </c>
      <c r="E202" s="10" t="str">
        <f>IFERROR(_xlfn.XLOOKUP(LEFT(tb_lectura[[#This Row],[ID]],7),tb_Productos[ID PRODUCTO],tb_Productos[Descuento]),"")</f>
        <v/>
      </c>
      <c r="F202" s="5" t="str">
        <f>IFERROR(_xlfn.XLOOKUP(LEFT(tb_lectura[[#This Row],[ID]],7),tb_Productos[ID PRODUCTO],tb_Productos[MARCA]),"")</f>
        <v/>
      </c>
      <c r="G20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2" s="10">
        <f>1</f>
        <v>1</v>
      </c>
    </row>
    <row r="203" spans="2:8" ht="16.5" x14ac:dyDescent="0.3">
      <c r="B203" s="11"/>
      <c r="C203" s="5" t="str">
        <f>IFERROR(_xlfn.XLOOKUP(LEFT(tb_lectura[[#This Row],[ID]],7),tb_Productos[ID PRODUCTO],tb_Productos[DESCRIPCION]),"")</f>
        <v/>
      </c>
      <c r="D203" s="15" t="str">
        <f>IFERROR(_xlfn.XLOOKUP(LEFT(tb_lectura[[#This Row],[ID]],7),tb_Productos[ID PRODUCTO],tb_Productos[precio unitario]),"")</f>
        <v/>
      </c>
      <c r="E203" s="10" t="str">
        <f>IFERROR(_xlfn.XLOOKUP(LEFT(tb_lectura[[#This Row],[ID]],7),tb_Productos[ID PRODUCTO],tb_Productos[Descuento]),"")</f>
        <v/>
      </c>
      <c r="F203" s="5" t="str">
        <f>IFERROR(_xlfn.XLOOKUP(LEFT(tb_lectura[[#This Row],[ID]],7),tb_Productos[ID PRODUCTO],tb_Productos[MARCA]),"")</f>
        <v/>
      </c>
      <c r="G20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3" s="10">
        <f>1</f>
        <v>1</v>
      </c>
    </row>
    <row r="204" spans="2:8" ht="16.5" x14ac:dyDescent="0.3">
      <c r="B204" s="11"/>
      <c r="C204" s="5" t="str">
        <f>IFERROR(_xlfn.XLOOKUP(LEFT(tb_lectura[[#This Row],[ID]],7),tb_Productos[ID PRODUCTO],tb_Productos[DESCRIPCION]),"")</f>
        <v/>
      </c>
      <c r="D204" s="15" t="str">
        <f>IFERROR(_xlfn.XLOOKUP(LEFT(tb_lectura[[#This Row],[ID]],7),tb_Productos[ID PRODUCTO],tb_Productos[precio unitario]),"")</f>
        <v/>
      </c>
      <c r="E204" s="10" t="str">
        <f>IFERROR(_xlfn.XLOOKUP(LEFT(tb_lectura[[#This Row],[ID]],7),tb_Productos[ID PRODUCTO],tb_Productos[Descuento]),"")</f>
        <v/>
      </c>
      <c r="F204" s="5" t="str">
        <f>IFERROR(_xlfn.XLOOKUP(LEFT(tb_lectura[[#This Row],[ID]],7),tb_Productos[ID PRODUCTO],tb_Productos[MARCA]),"")</f>
        <v/>
      </c>
      <c r="G20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4" s="10">
        <f>1</f>
        <v>1</v>
      </c>
    </row>
    <row r="205" spans="2:8" ht="16.5" x14ac:dyDescent="0.3">
      <c r="B205" s="11"/>
      <c r="C205" s="5" t="str">
        <f>IFERROR(_xlfn.XLOOKUP(LEFT(tb_lectura[[#This Row],[ID]],7),tb_Productos[ID PRODUCTO],tb_Productos[DESCRIPCION]),"")</f>
        <v/>
      </c>
      <c r="D205" s="15" t="str">
        <f>IFERROR(_xlfn.XLOOKUP(LEFT(tb_lectura[[#This Row],[ID]],7),tb_Productos[ID PRODUCTO],tb_Productos[precio unitario]),"")</f>
        <v/>
      </c>
      <c r="E205" s="10" t="str">
        <f>IFERROR(_xlfn.XLOOKUP(LEFT(tb_lectura[[#This Row],[ID]],7),tb_Productos[ID PRODUCTO],tb_Productos[Descuento]),"")</f>
        <v/>
      </c>
      <c r="F205" s="5" t="str">
        <f>IFERROR(_xlfn.XLOOKUP(LEFT(tb_lectura[[#This Row],[ID]],7),tb_Productos[ID PRODUCTO],tb_Productos[MARCA]),"")</f>
        <v/>
      </c>
      <c r="G20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5" s="10">
        <f>1</f>
        <v>1</v>
      </c>
    </row>
    <row r="206" spans="2:8" ht="16.5" x14ac:dyDescent="0.3">
      <c r="B206" s="11"/>
      <c r="C206" s="5" t="str">
        <f>IFERROR(_xlfn.XLOOKUP(LEFT(tb_lectura[[#This Row],[ID]],7),tb_Productos[ID PRODUCTO],tb_Productos[DESCRIPCION]),"")</f>
        <v/>
      </c>
      <c r="D206" s="15" t="str">
        <f>IFERROR(_xlfn.XLOOKUP(LEFT(tb_lectura[[#This Row],[ID]],7),tb_Productos[ID PRODUCTO],tb_Productos[precio unitario]),"")</f>
        <v/>
      </c>
      <c r="E206" s="10" t="str">
        <f>IFERROR(_xlfn.XLOOKUP(LEFT(tb_lectura[[#This Row],[ID]],7),tb_Productos[ID PRODUCTO],tb_Productos[Descuento]),"")</f>
        <v/>
      </c>
      <c r="F206" s="5" t="str">
        <f>IFERROR(_xlfn.XLOOKUP(LEFT(tb_lectura[[#This Row],[ID]],7),tb_Productos[ID PRODUCTO],tb_Productos[MARCA]),"")</f>
        <v/>
      </c>
      <c r="G20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6" s="10">
        <f>1</f>
        <v>1</v>
      </c>
    </row>
    <row r="207" spans="2:8" ht="16.5" x14ac:dyDescent="0.3">
      <c r="B207" s="11"/>
      <c r="C207" s="5" t="str">
        <f>IFERROR(_xlfn.XLOOKUP(LEFT(tb_lectura[[#This Row],[ID]],7),tb_Productos[ID PRODUCTO],tb_Productos[DESCRIPCION]),"")</f>
        <v/>
      </c>
      <c r="D207" s="15" t="str">
        <f>IFERROR(_xlfn.XLOOKUP(LEFT(tb_lectura[[#This Row],[ID]],7),tb_Productos[ID PRODUCTO],tb_Productos[precio unitario]),"")</f>
        <v/>
      </c>
      <c r="E207" s="10" t="str">
        <f>IFERROR(_xlfn.XLOOKUP(LEFT(tb_lectura[[#This Row],[ID]],7),tb_Productos[ID PRODUCTO],tb_Productos[Descuento]),"")</f>
        <v/>
      </c>
      <c r="F207" s="5" t="str">
        <f>IFERROR(_xlfn.XLOOKUP(LEFT(tb_lectura[[#This Row],[ID]],7),tb_Productos[ID PRODUCTO],tb_Productos[MARCA]),"")</f>
        <v/>
      </c>
      <c r="G20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7" s="10">
        <f>1</f>
        <v>1</v>
      </c>
    </row>
    <row r="208" spans="2:8" ht="16.5" x14ac:dyDescent="0.3">
      <c r="B208" s="11"/>
      <c r="C208" s="5" t="str">
        <f>IFERROR(_xlfn.XLOOKUP(LEFT(tb_lectura[[#This Row],[ID]],7),tb_Productos[ID PRODUCTO],tb_Productos[DESCRIPCION]),"")</f>
        <v/>
      </c>
      <c r="D208" s="15" t="str">
        <f>IFERROR(_xlfn.XLOOKUP(LEFT(tb_lectura[[#This Row],[ID]],7),tb_Productos[ID PRODUCTO],tb_Productos[precio unitario]),"")</f>
        <v/>
      </c>
      <c r="E208" s="10" t="str">
        <f>IFERROR(_xlfn.XLOOKUP(LEFT(tb_lectura[[#This Row],[ID]],7),tb_Productos[ID PRODUCTO],tb_Productos[Descuento]),"")</f>
        <v/>
      </c>
      <c r="F208" s="5" t="str">
        <f>IFERROR(_xlfn.XLOOKUP(LEFT(tb_lectura[[#This Row],[ID]],7),tb_Productos[ID PRODUCTO],tb_Productos[MARCA]),"")</f>
        <v/>
      </c>
      <c r="G20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8" s="10">
        <f>1</f>
        <v>1</v>
      </c>
    </row>
    <row r="209" spans="2:8" ht="16.5" x14ac:dyDescent="0.3">
      <c r="B209" s="11"/>
      <c r="C209" s="5" t="str">
        <f>IFERROR(_xlfn.XLOOKUP(LEFT(tb_lectura[[#This Row],[ID]],7),tb_Productos[ID PRODUCTO],tb_Productos[DESCRIPCION]),"")</f>
        <v/>
      </c>
      <c r="D209" s="15" t="str">
        <f>IFERROR(_xlfn.XLOOKUP(LEFT(tb_lectura[[#This Row],[ID]],7),tb_Productos[ID PRODUCTO],tb_Productos[precio unitario]),"")</f>
        <v/>
      </c>
      <c r="E209" s="10" t="str">
        <f>IFERROR(_xlfn.XLOOKUP(LEFT(tb_lectura[[#This Row],[ID]],7),tb_Productos[ID PRODUCTO],tb_Productos[Descuento]),"")</f>
        <v/>
      </c>
      <c r="F209" s="5" t="str">
        <f>IFERROR(_xlfn.XLOOKUP(LEFT(tb_lectura[[#This Row],[ID]],7),tb_Productos[ID PRODUCTO],tb_Productos[MARCA]),"")</f>
        <v/>
      </c>
      <c r="G20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9" s="10">
        <f>1</f>
        <v>1</v>
      </c>
    </row>
    <row r="210" spans="2:8" ht="16.5" x14ac:dyDescent="0.3">
      <c r="B210" s="11"/>
      <c r="C210" s="5" t="str">
        <f>IFERROR(_xlfn.XLOOKUP(LEFT(tb_lectura[[#This Row],[ID]],7),tb_Productos[ID PRODUCTO],tb_Productos[DESCRIPCION]),"")</f>
        <v/>
      </c>
      <c r="D210" s="15" t="str">
        <f>IFERROR(_xlfn.XLOOKUP(LEFT(tb_lectura[[#This Row],[ID]],7),tb_Productos[ID PRODUCTO],tb_Productos[precio unitario]),"")</f>
        <v/>
      </c>
      <c r="E210" s="10" t="str">
        <f>IFERROR(_xlfn.XLOOKUP(LEFT(tb_lectura[[#This Row],[ID]],7),tb_Productos[ID PRODUCTO],tb_Productos[Descuento]),"")</f>
        <v/>
      </c>
      <c r="F210" s="5" t="str">
        <f>IFERROR(_xlfn.XLOOKUP(LEFT(tb_lectura[[#This Row],[ID]],7),tb_Productos[ID PRODUCTO],tb_Productos[MARCA]),"")</f>
        <v/>
      </c>
      <c r="G21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0" s="10">
        <f>1</f>
        <v>1</v>
      </c>
    </row>
    <row r="211" spans="2:8" ht="16.5" x14ac:dyDescent="0.3">
      <c r="B211" s="11"/>
      <c r="C211" s="5" t="str">
        <f>IFERROR(_xlfn.XLOOKUP(LEFT(tb_lectura[[#This Row],[ID]],7),tb_Productos[ID PRODUCTO],tb_Productos[DESCRIPCION]),"")</f>
        <v/>
      </c>
      <c r="D211" s="15" t="str">
        <f>IFERROR(_xlfn.XLOOKUP(LEFT(tb_lectura[[#This Row],[ID]],7),tb_Productos[ID PRODUCTO],tb_Productos[precio unitario]),"")</f>
        <v/>
      </c>
      <c r="E211" s="10" t="str">
        <f>IFERROR(_xlfn.XLOOKUP(LEFT(tb_lectura[[#This Row],[ID]],7),tb_Productos[ID PRODUCTO],tb_Productos[Descuento]),"")</f>
        <v/>
      </c>
      <c r="F211" s="5" t="str">
        <f>IFERROR(_xlfn.XLOOKUP(LEFT(tb_lectura[[#This Row],[ID]],7),tb_Productos[ID PRODUCTO],tb_Productos[MARCA]),"")</f>
        <v/>
      </c>
      <c r="G21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1" s="10">
        <f>1</f>
        <v>1</v>
      </c>
    </row>
    <row r="212" spans="2:8" ht="16.5" x14ac:dyDescent="0.3">
      <c r="B212" s="11"/>
      <c r="C212" s="5" t="str">
        <f>IFERROR(_xlfn.XLOOKUP(LEFT(tb_lectura[[#This Row],[ID]],7),tb_Productos[ID PRODUCTO],tb_Productos[DESCRIPCION]),"")</f>
        <v/>
      </c>
      <c r="D212" s="15" t="str">
        <f>IFERROR(_xlfn.XLOOKUP(LEFT(tb_lectura[[#This Row],[ID]],7),tb_Productos[ID PRODUCTO],tb_Productos[precio unitario]),"")</f>
        <v/>
      </c>
      <c r="E212" s="10" t="str">
        <f>IFERROR(_xlfn.XLOOKUP(LEFT(tb_lectura[[#This Row],[ID]],7),tb_Productos[ID PRODUCTO],tb_Productos[Descuento]),"")</f>
        <v/>
      </c>
      <c r="F212" s="5" t="str">
        <f>IFERROR(_xlfn.XLOOKUP(LEFT(tb_lectura[[#This Row],[ID]],7),tb_Productos[ID PRODUCTO],tb_Productos[MARCA]),"")</f>
        <v/>
      </c>
      <c r="G21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2" s="10">
        <f>1</f>
        <v>1</v>
      </c>
    </row>
    <row r="213" spans="2:8" ht="16.5" x14ac:dyDescent="0.3">
      <c r="B213" s="11"/>
      <c r="C213" s="5" t="str">
        <f>IFERROR(_xlfn.XLOOKUP(LEFT(tb_lectura[[#This Row],[ID]],7),tb_Productos[ID PRODUCTO],tb_Productos[DESCRIPCION]),"")</f>
        <v/>
      </c>
      <c r="D213" s="15" t="str">
        <f>IFERROR(_xlfn.XLOOKUP(LEFT(tb_lectura[[#This Row],[ID]],7),tb_Productos[ID PRODUCTO],tb_Productos[precio unitario]),"")</f>
        <v/>
      </c>
      <c r="E213" s="10" t="str">
        <f>IFERROR(_xlfn.XLOOKUP(LEFT(tb_lectura[[#This Row],[ID]],7),tb_Productos[ID PRODUCTO],tb_Productos[Descuento]),"")</f>
        <v/>
      </c>
      <c r="F213" s="5" t="str">
        <f>IFERROR(_xlfn.XLOOKUP(LEFT(tb_lectura[[#This Row],[ID]],7),tb_Productos[ID PRODUCTO],tb_Productos[MARCA]),"")</f>
        <v/>
      </c>
      <c r="G21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3" s="10">
        <f>1</f>
        <v>1</v>
      </c>
    </row>
    <row r="214" spans="2:8" ht="16.5" x14ac:dyDescent="0.3">
      <c r="B214" s="11"/>
      <c r="C214" s="5" t="str">
        <f>IFERROR(_xlfn.XLOOKUP(LEFT(tb_lectura[[#This Row],[ID]],7),tb_Productos[ID PRODUCTO],tb_Productos[DESCRIPCION]),"")</f>
        <v/>
      </c>
      <c r="D214" s="15" t="str">
        <f>IFERROR(_xlfn.XLOOKUP(LEFT(tb_lectura[[#This Row],[ID]],7),tb_Productos[ID PRODUCTO],tb_Productos[precio unitario]),"")</f>
        <v/>
      </c>
      <c r="E214" s="10" t="str">
        <f>IFERROR(_xlfn.XLOOKUP(LEFT(tb_lectura[[#This Row],[ID]],7),tb_Productos[ID PRODUCTO],tb_Productos[Descuento]),"")</f>
        <v/>
      </c>
      <c r="F214" s="5" t="str">
        <f>IFERROR(_xlfn.XLOOKUP(LEFT(tb_lectura[[#This Row],[ID]],7),tb_Productos[ID PRODUCTO],tb_Productos[MARCA]),"")</f>
        <v/>
      </c>
      <c r="G21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4" s="10">
        <f>1</f>
        <v>1</v>
      </c>
    </row>
    <row r="215" spans="2:8" ht="16.5" x14ac:dyDescent="0.3">
      <c r="B215" s="11"/>
      <c r="C215" s="5" t="str">
        <f>IFERROR(_xlfn.XLOOKUP(LEFT(tb_lectura[[#This Row],[ID]],7),tb_Productos[ID PRODUCTO],tb_Productos[DESCRIPCION]),"")</f>
        <v/>
      </c>
      <c r="D215" s="15" t="str">
        <f>IFERROR(_xlfn.XLOOKUP(LEFT(tb_lectura[[#This Row],[ID]],7),tb_Productos[ID PRODUCTO],tb_Productos[precio unitario]),"")</f>
        <v/>
      </c>
      <c r="E215" s="10" t="str">
        <f>IFERROR(_xlfn.XLOOKUP(LEFT(tb_lectura[[#This Row],[ID]],7),tb_Productos[ID PRODUCTO],tb_Productos[Descuento]),"")</f>
        <v/>
      </c>
      <c r="F215" s="5" t="str">
        <f>IFERROR(_xlfn.XLOOKUP(LEFT(tb_lectura[[#This Row],[ID]],7),tb_Productos[ID PRODUCTO],tb_Productos[MARCA]),"")</f>
        <v/>
      </c>
      <c r="G21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5" s="10">
        <f>1</f>
        <v>1</v>
      </c>
    </row>
    <row r="216" spans="2:8" ht="16.5" x14ac:dyDescent="0.3">
      <c r="B216" s="11"/>
      <c r="C216" s="5" t="str">
        <f>IFERROR(_xlfn.XLOOKUP(LEFT(tb_lectura[[#This Row],[ID]],7),tb_Productos[ID PRODUCTO],tb_Productos[DESCRIPCION]),"")</f>
        <v/>
      </c>
      <c r="D216" s="15" t="str">
        <f>IFERROR(_xlfn.XLOOKUP(LEFT(tb_lectura[[#This Row],[ID]],7),tb_Productos[ID PRODUCTO],tb_Productos[precio unitario]),"")</f>
        <v/>
      </c>
      <c r="E216" s="10" t="str">
        <f>IFERROR(_xlfn.XLOOKUP(LEFT(tb_lectura[[#This Row],[ID]],7),tb_Productos[ID PRODUCTO],tb_Productos[Descuento]),"")</f>
        <v/>
      </c>
      <c r="F216" s="5" t="str">
        <f>IFERROR(_xlfn.XLOOKUP(LEFT(tb_lectura[[#This Row],[ID]],7),tb_Productos[ID PRODUCTO],tb_Productos[MARCA]),"")</f>
        <v/>
      </c>
      <c r="G21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6" s="10">
        <f>1</f>
        <v>1</v>
      </c>
    </row>
    <row r="217" spans="2:8" ht="16.5" x14ac:dyDescent="0.3">
      <c r="B217" s="11"/>
      <c r="C217" s="5" t="str">
        <f>IFERROR(_xlfn.XLOOKUP(LEFT(tb_lectura[[#This Row],[ID]],7),tb_Productos[ID PRODUCTO],tb_Productos[DESCRIPCION]),"")</f>
        <v/>
      </c>
      <c r="D217" s="15" t="str">
        <f>IFERROR(_xlfn.XLOOKUP(LEFT(tb_lectura[[#This Row],[ID]],7),tb_Productos[ID PRODUCTO],tb_Productos[precio unitario]),"")</f>
        <v/>
      </c>
      <c r="E217" s="10" t="str">
        <f>IFERROR(_xlfn.XLOOKUP(LEFT(tb_lectura[[#This Row],[ID]],7),tb_Productos[ID PRODUCTO],tb_Productos[Descuento]),"")</f>
        <v/>
      </c>
      <c r="F217" s="5" t="str">
        <f>IFERROR(_xlfn.XLOOKUP(LEFT(tb_lectura[[#This Row],[ID]],7),tb_Productos[ID PRODUCTO],tb_Productos[MARCA]),"")</f>
        <v/>
      </c>
      <c r="G21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7" s="10">
        <f>1</f>
        <v>1</v>
      </c>
    </row>
    <row r="218" spans="2:8" ht="16.5" x14ac:dyDescent="0.3">
      <c r="B218" s="11"/>
      <c r="C218" s="5" t="str">
        <f>IFERROR(_xlfn.XLOOKUP(LEFT(tb_lectura[[#This Row],[ID]],7),tb_Productos[ID PRODUCTO],tb_Productos[DESCRIPCION]),"")</f>
        <v/>
      </c>
      <c r="D218" s="15" t="str">
        <f>IFERROR(_xlfn.XLOOKUP(LEFT(tb_lectura[[#This Row],[ID]],7),tb_Productos[ID PRODUCTO],tb_Productos[precio unitario]),"")</f>
        <v/>
      </c>
      <c r="E218" s="10" t="str">
        <f>IFERROR(_xlfn.XLOOKUP(LEFT(tb_lectura[[#This Row],[ID]],7),tb_Productos[ID PRODUCTO],tb_Productos[Descuento]),"")</f>
        <v/>
      </c>
      <c r="F218" s="5" t="str">
        <f>IFERROR(_xlfn.XLOOKUP(LEFT(tb_lectura[[#This Row],[ID]],7),tb_Productos[ID PRODUCTO],tb_Productos[MARCA]),"")</f>
        <v/>
      </c>
      <c r="G21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8" s="10">
        <f>1</f>
        <v>1</v>
      </c>
    </row>
    <row r="219" spans="2:8" ht="16.5" x14ac:dyDescent="0.3">
      <c r="B219" s="11"/>
      <c r="C219" s="5" t="str">
        <f>IFERROR(_xlfn.XLOOKUP(LEFT(tb_lectura[[#This Row],[ID]],7),tb_Productos[ID PRODUCTO],tb_Productos[DESCRIPCION]),"")</f>
        <v/>
      </c>
      <c r="D219" s="15" t="str">
        <f>IFERROR(_xlfn.XLOOKUP(LEFT(tb_lectura[[#This Row],[ID]],7),tb_Productos[ID PRODUCTO],tb_Productos[precio unitario]),"")</f>
        <v/>
      </c>
      <c r="E219" s="10" t="str">
        <f>IFERROR(_xlfn.XLOOKUP(LEFT(tb_lectura[[#This Row],[ID]],7),tb_Productos[ID PRODUCTO],tb_Productos[Descuento]),"")</f>
        <v/>
      </c>
      <c r="F219" s="5" t="str">
        <f>IFERROR(_xlfn.XLOOKUP(LEFT(tb_lectura[[#This Row],[ID]],7),tb_Productos[ID PRODUCTO],tb_Productos[MARCA]),"")</f>
        <v/>
      </c>
      <c r="G21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9" s="10">
        <f>1</f>
        <v>1</v>
      </c>
    </row>
    <row r="220" spans="2:8" ht="16.5" x14ac:dyDescent="0.3">
      <c r="B220" s="11"/>
      <c r="C220" s="5" t="str">
        <f>IFERROR(_xlfn.XLOOKUP(LEFT(tb_lectura[[#This Row],[ID]],7),tb_Productos[ID PRODUCTO],tb_Productos[DESCRIPCION]),"")</f>
        <v/>
      </c>
      <c r="D220" s="15" t="str">
        <f>IFERROR(_xlfn.XLOOKUP(LEFT(tb_lectura[[#This Row],[ID]],7),tb_Productos[ID PRODUCTO],tb_Productos[precio unitario]),"")</f>
        <v/>
      </c>
      <c r="E220" s="10" t="str">
        <f>IFERROR(_xlfn.XLOOKUP(LEFT(tb_lectura[[#This Row],[ID]],7),tb_Productos[ID PRODUCTO],tb_Productos[Descuento]),"")</f>
        <v/>
      </c>
      <c r="F220" s="5" t="str">
        <f>IFERROR(_xlfn.XLOOKUP(LEFT(tb_lectura[[#This Row],[ID]],7),tb_Productos[ID PRODUCTO],tb_Productos[MARCA]),"")</f>
        <v/>
      </c>
      <c r="G22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0" s="10">
        <f>1</f>
        <v>1</v>
      </c>
    </row>
    <row r="221" spans="2:8" ht="16.5" x14ac:dyDescent="0.3">
      <c r="B221" s="11"/>
      <c r="C221" s="5" t="str">
        <f>IFERROR(_xlfn.XLOOKUP(LEFT(tb_lectura[[#This Row],[ID]],7),tb_Productos[ID PRODUCTO],tb_Productos[DESCRIPCION]),"")</f>
        <v/>
      </c>
      <c r="D221" s="15" t="str">
        <f>IFERROR(_xlfn.XLOOKUP(LEFT(tb_lectura[[#This Row],[ID]],7),tb_Productos[ID PRODUCTO],tb_Productos[precio unitario]),"")</f>
        <v/>
      </c>
      <c r="E221" s="10" t="str">
        <f>IFERROR(_xlfn.XLOOKUP(LEFT(tb_lectura[[#This Row],[ID]],7),tb_Productos[ID PRODUCTO],tb_Productos[Descuento]),"")</f>
        <v/>
      </c>
      <c r="F221" s="5" t="str">
        <f>IFERROR(_xlfn.XLOOKUP(LEFT(tb_lectura[[#This Row],[ID]],7),tb_Productos[ID PRODUCTO],tb_Productos[MARCA]),"")</f>
        <v/>
      </c>
      <c r="G22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1" s="10">
        <f>1</f>
        <v>1</v>
      </c>
    </row>
    <row r="222" spans="2:8" ht="16.5" x14ac:dyDescent="0.3">
      <c r="B222" s="11"/>
      <c r="C222" s="5" t="str">
        <f>IFERROR(_xlfn.XLOOKUP(LEFT(tb_lectura[[#This Row],[ID]],7),tb_Productos[ID PRODUCTO],tb_Productos[DESCRIPCION]),"")</f>
        <v/>
      </c>
      <c r="D222" s="15" t="str">
        <f>IFERROR(_xlfn.XLOOKUP(LEFT(tb_lectura[[#This Row],[ID]],7),tb_Productos[ID PRODUCTO],tb_Productos[precio unitario]),"")</f>
        <v/>
      </c>
      <c r="E222" s="10" t="str">
        <f>IFERROR(_xlfn.XLOOKUP(LEFT(tb_lectura[[#This Row],[ID]],7),tb_Productos[ID PRODUCTO],tb_Productos[Descuento]),"")</f>
        <v/>
      </c>
      <c r="F222" s="5" t="str">
        <f>IFERROR(_xlfn.XLOOKUP(LEFT(tb_lectura[[#This Row],[ID]],7),tb_Productos[ID PRODUCTO],tb_Productos[MARCA]),"")</f>
        <v/>
      </c>
      <c r="G22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2" s="10">
        <f>1</f>
        <v>1</v>
      </c>
    </row>
    <row r="223" spans="2:8" ht="16.5" x14ac:dyDescent="0.3">
      <c r="B223" s="11"/>
      <c r="C223" s="5" t="str">
        <f>IFERROR(_xlfn.XLOOKUP(LEFT(tb_lectura[[#This Row],[ID]],7),tb_Productos[ID PRODUCTO],tb_Productos[DESCRIPCION]),"")</f>
        <v/>
      </c>
      <c r="D223" s="15" t="str">
        <f>IFERROR(_xlfn.XLOOKUP(LEFT(tb_lectura[[#This Row],[ID]],7),tb_Productos[ID PRODUCTO],tb_Productos[precio unitario]),"")</f>
        <v/>
      </c>
      <c r="E223" s="10" t="str">
        <f>IFERROR(_xlfn.XLOOKUP(LEFT(tb_lectura[[#This Row],[ID]],7),tb_Productos[ID PRODUCTO],tb_Productos[Descuento]),"")</f>
        <v/>
      </c>
      <c r="F223" s="5" t="str">
        <f>IFERROR(_xlfn.XLOOKUP(LEFT(tb_lectura[[#This Row],[ID]],7),tb_Productos[ID PRODUCTO],tb_Productos[MARCA]),"")</f>
        <v/>
      </c>
      <c r="G22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3" s="10">
        <f>1</f>
        <v>1</v>
      </c>
    </row>
    <row r="224" spans="2:8" ht="16.5" x14ac:dyDescent="0.3">
      <c r="B224" s="11"/>
      <c r="C224" s="5" t="str">
        <f>IFERROR(_xlfn.XLOOKUP(LEFT(tb_lectura[[#This Row],[ID]],7),tb_Productos[ID PRODUCTO],tb_Productos[DESCRIPCION]),"")</f>
        <v/>
      </c>
      <c r="D224" s="15" t="str">
        <f>IFERROR(_xlfn.XLOOKUP(LEFT(tb_lectura[[#This Row],[ID]],7),tb_Productos[ID PRODUCTO],tb_Productos[precio unitario]),"")</f>
        <v/>
      </c>
      <c r="E224" s="10" t="str">
        <f>IFERROR(_xlfn.XLOOKUP(LEFT(tb_lectura[[#This Row],[ID]],7),tb_Productos[ID PRODUCTO],tb_Productos[Descuento]),"")</f>
        <v/>
      </c>
      <c r="F224" s="5" t="str">
        <f>IFERROR(_xlfn.XLOOKUP(LEFT(tb_lectura[[#This Row],[ID]],7),tb_Productos[ID PRODUCTO],tb_Productos[MARCA]),"")</f>
        <v/>
      </c>
      <c r="G22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4" s="10">
        <f>1</f>
        <v>1</v>
      </c>
    </row>
    <row r="225" spans="2:8" ht="16.5" x14ac:dyDescent="0.3">
      <c r="B225" s="11"/>
      <c r="C225" s="5" t="str">
        <f>IFERROR(_xlfn.XLOOKUP(LEFT(tb_lectura[[#This Row],[ID]],7),tb_Productos[ID PRODUCTO],tb_Productos[DESCRIPCION]),"")</f>
        <v/>
      </c>
      <c r="D225" s="15" t="str">
        <f>IFERROR(_xlfn.XLOOKUP(LEFT(tb_lectura[[#This Row],[ID]],7),tb_Productos[ID PRODUCTO],tb_Productos[precio unitario]),"")</f>
        <v/>
      </c>
      <c r="E225" s="10" t="str">
        <f>IFERROR(_xlfn.XLOOKUP(LEFT(tb_lectura[[#This Row],[ID]],7),tb_Productos[ID PRODUCTO],tb_Productos[Descuento]),"")</f>
        <v/>
      </c>
      <c r="F225" s="5" t="str">
        <f>IFERROR(_xlfn.XLOOKUP(LEFT(tb_lectura[[#This Row],[ID]],7),tb_Productos[ID PRODUCTO],tb_Productos[MARCA]),"")</f>
        <v/>
      </c>
      <c r="G22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5" s="10">
        <f>1</f>
        <v>1</v>
      </c>
    </row>
    <row r="226" spans="2:8" ht="16.5" x14ac:dyDescent="0.3">
      <c r="B226" s="11"/>
      <c r="C226" s="5" t="str">
        <f>IFERROR(_xlfn.XLOOKUP(LEFT(tb_lectura[[#This Row],[ID]],7),tb_Productos[ID PRODUCTO],tb_Productos[DESCRIPCION]),"")</f>
        <v/>
      </c>
      <c r="D226" s="15" t="str">
        <f>IFERROR(_xlfn.XLOOKUP(LEFT(tb_lectura[[#This Row],[ID]],7),tb_Productos[ID PRODUCTO],tb_Productos[precio unitario]),"")</f>
        <v/>
      </c>
      <c r="E226" s="10" t="str">
        <f>IFERROR(_xlfn.XLOOKUP(LEFT(tb_lectura[[#This Row],[ID]],7),tb_Productos[ID PRODUCTO],tb_Productos[Descuento]),"")</f>
        <v/>
      </c>
      <c r="F226" s="5" t="str">
        <f>IFERROR(_xlfn.XLOOKUP(LEFT(tb_lectura[[#This Row],[ID]],7),tb_Productos[ID PRODUCTO],tb_Productos[MARCA]),"")</f>
        <v/>
      </c>
      <c r="G22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6" s="10">
        <f>1</f>
        <v>1</v>
      </c>
    </row>
    <row r="227" spans="2:8" ht="16.5" x14ac:dyDescent="0.3">
      <c r="B227" s="11"/>
      <c r="C227" s="5" t="str">
        <f>IFERROR(_xlfn.XLOOKUP(LEFT(tb_lectura[[#This Row],[ID]],7),tb_Productos[ID PRODUCTO],tb_Productos[DESCRIPCION]),"")</f>
        <v/>
      </c>
      <c r="D227" s="15" t="str">
        <f>IFERROR(_xlfn.XLOOKUP(LEFT(tb_lectura[[#This Row],[ID]],7),tb_Productos[ID PRODUCTO],tb_Productos[precio unitario]),"")</f>
        <v/>
      </c>
      <c r="E227" s="10" t="str">
        <f>IFERROR(_xlfn.XLOOKUP(LEFT(tb_lectura[[#This Row],[ID]],7),tb_Productos[ID PRODUCTO],tb_Productos[Descuento]),"")</f>
        <v/>
      </c>
      <c r="F227" s="5" t="str">
        <f>IFERROR(_xlfn.XLOOKUP(LEFT(tb_lectura[[#This Row],[ID]],7),tb_Productos[ID PRODUCTO],tb_Productos[MARCA]),"")</f>
        <v/>
      </c>
      <c r="G22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7" s="10">
        <f>1</f>
        <v>1</v>
      </c>
    </row>
    <row r="228" spans="2:8" ht="16.5" x14ac:dyDescent="0.3">
      <c r="B228" s="11"/>
      <c r="C228" s="5" t="str">
        <f>IFERROR(_xlfn.XLOOKUP(LEFT(tb_lectura[[#This Row],[ID]],7),tb_Productos[ID PRODUCTO],tb_Productos[DESCRIPCION]),"")</f>
        <v/>
      </c>
      <c r="D228" s="15" t="str">
        <f>IFERROR(_xlfn.XLOOKUP(LEFT(tb_lectura[[#This Row],[ID]],7),tb_Productos[ID PRODUCTO],tb_Productos[precio unitario]),"")</f>
        <v/>
      </c>
      <c r="E228" s="10" t="str">
        <f>IFERROR(_xlfn.XLOOKUP(LEFT(tb_lectura[[#This Row],[ID]],7),tb_Productos[ID PRODUCTO],tb_Productos[Descuento]),"")</f>
        <v/>
      </c>
      <c r="F228" s="5" t="str">
        <f>IFERROR(_xlfn.XLOOKUP(LEFT(tb_lectura[[#This Row],[ID]],7),tb_Productos[ID PRODUCTO],tb_Productos[MARCA]),"")</f>
        <v/>
      </c>
      <c r="G22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8" s="10">
        <f>1</f>
        <v>1</v>
      </c>
    </row>
    <row r="229" spans="2:8" ht="16.5" x14ac:dyDescent="0.3">
      <c r="B229" s="11"/>
      <c r="C229" s="5" t="str">
        <f>IFERROR(_xlfn.XLOOKUP(LEFT(tb_lectura[[#This Row],[ID]],7),tb_Productos[ID PRODUCTO],tb_Productos[DESCRIPCION]),"")</f>
        <v/>
      </c>
      <c r="D229" s="15" t="str">
        <f>IFERROR(_xlfn.XLOOKUP(LEFT(tb_lectura[[#This Row],[ID]],7),tb_Productos[ID PRODUCTO],tb_Productos[precio unitario]),"")</f>
        <v/>
      </c>
      <c r="E229" s="10" t="str">
        <f>IFERROR(_xlfn.XLOOKUP(LEFT(tb_lectura[[#This Row],[ID]],7),tb_Productos[ID PRODUCTO],tb_Productos[Descuento]),"")</f>
        <v/>
      </c>
      <c r="F229" s="5" t="str">
        <f>IFERROR(_xlfn.XLOOKUP(LEFT(tb_lectura[[#This Row],[ID]],7),tb_Productos[ID PRODUCTO],tb_Productos[MARCA]),"")</f>
        <v/>
      </c>
      <c r="G22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9" s="10">
        <f>1</f>
        <v>1</v>
      </c>
    </row>
    <row r="230" spans="2:8" ht="16.5" x14ac:dyDescent="0.3">
      <c r="B230" s="11"/>
      <c r="C230" s="5" t="str">
        <f>IFERROR(_xlfn.XLOOKUP(LEFT(tb_lectura[[#This Row],[ID]],7),tb_Productos[ID PRODUCTO],tb_Productos[DESCRIPCION]),"")</f>
        <v/>
      </c>
      <c r="D230" s="15" t="str">
        <f>IFERROR(_xlfn.XLOOKUP(LEFT(tb_lectura[[#This Row],[ID]],7),tb_Productos[ID PRODUCTO],tb_Productos[precio unitario]),"")</f>
        <v/>
      </c>
      <c r="E230" s="10" t="str">
        <f>IFERROR(_xlfn.XLOOKUP(LEFT(tb_lectura[[#This Row],[ID]],7),tb_Productos[ID PRODUCTO],tb_Productos[Descuento]),"")</f>
        <v/>
      </c>
      <c r="F230" s="5" t="str">
        <f>IFERROR(_xlfn.XLOOKUP(LEFT(tb_lectura[[#This Row],[ID]],7),tb_Productos[ID PRODUCTO],tb_Productos[MARCA]),"")</f>
        <v/>
      </c>
      <c r="G23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0" s="10">
        <f>1</f>
        <v>1</v>
      </c>
    </row>
    <row r="231" spans="2:8" ht="16.5" x14ac:dyDescent="0.3">
      <c r="B231" s="11"/>
      <c r="C231" s="5" t="str">
        <f>IFERROR(_xlfn.XLOOKUP(LEFT(tb_lectura[[#This Row],[ID]],7),tb_Productos[ID PRODUCTO],tb_Productos[DESCRIPCION]),"")</f>
        <v/>
      </c>
      <c r="D231" s="15" t="str">
        <f>IFERROR(_xlfn.XLOOKUP(LEFT(tb_lectura[[#This Row],[ID]],7),tb_Productos[ID PRODUCTO],tb_Productos[precio unitario]),"")</f>
        <v/>
      </c>
      <c r="E231" s="10" t="str">
        <f>IFERROR(_xlfn.XLOOKUP(LEFT(tb_lectura[[#This Row],[ID]],7),tb_Productos[ID PRODUCTO],tb_Productos[Descuento]),"")</f>
        <v/>
      </c>
      <c r="F231" s="5" t="str">
        <f>IFERROR(_xlfn.XLOOKUP(LEFT(tb_lectura[[#This Row],[ID]],7),tb_Productos[ID PRODUCTO],tb_Productos[MARCA]),"")</f>
        <v/>
      </c>
      <c r="G23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1" s="10">
        <f>1</f>
        <v>1</v>
      </c>
    </row>
    <row r="232" spans="2:8" ht="16.5" x14ac:dyDescent="0.3">
      <c r="B232" s="11"/>
      <c r="C232" s="5" t="str">
        <f>IFERROR(_xlfn.XLOOKUP(LEFT(tb_lectura[[#This Row],[ID]],7),tb_Productos[ID PRODUCTO],tb_Productos[DESCRIPCION]),"")</f>
        <v/>
      </c>
      <c r="D232" s="15" t="str">
        <f>IFERROR(_xlfn.XLOOKUP(LEFT(tb_lectura[[#This Row],[ID]],7),tb_Productos[ID PRODUCTO],tb_Productos[precio unitario]),"")</f>
        <v/>
      </c>
      <c r="E232" s="10" t="str">
        <f>IFERROR(_xlfn.XLOOKUP(LEFT(tb_lectura[[#This Row],[ID]],7),tb_Productos[ID PRODUCTO],tb_Productos[Descuento]),"")</f>
        <v/>
      </c>
      <c r="F232" s="5" t="str">
        <f>IFERROR(_xlfn.XLOOKUP(LEFT(tb_lectura[[#This Row],[ID]],7),tb_Productos[ID PRODUCTO],tb_Productos[MARCA]),"")</f>
        <v/>
      </c>
      <c r="G23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2" s="10">
        <f>1</f>
        <v>1</v>
      </c>
    </row>
    <row r="233" spans="2:8" ht="16.5" x14ac:dyDescent="0.3">
      <c r="B233" s="11"/>
      <c r="C233" s="5" t="str">
        <f>IFERROR(_xlfn.XLOOKUP(LEFT(tb_lectura[[#This Row],[ID]],7),tb_Productos[ID PRODUCTO],tb_Productos[DESCRIPCION]),"")</f>
        <v/>
      </c>
      <c r="D233" s="15" t="str">
        <f>IFERROR(_xlfn.XLOOKUP(LEFT(tb_lectura[[#This Row],[ID]],7),tb_Productos[ID PRODUCTO],tb_Productos[precio unitario]),"")</f>
        <v/>
      </c>
      <c r="E233" s="10" t="str">
        <f>IFERROR(_xlfn.XLOOKUP(LEFT(tb_lectura[[#This Row],[ID]],7),tb_Productos[ID PRODUCTO],tb_Productos[Descuento]),"")</f>
        <v/>
      </c>
      <c r="F233" s="5" t="str">
        <f>IFERROR(_xlfn.XLOOKUP(LEFT(tb_lectura[[#This Row],[ID]],7),tb_Productos[ID PRODUCTO],tb_Productos[MARCA]),"")</f>
        <v/>
      </c>
      <c r="G23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3" s="10">
        <f>1</f>
        <v>1</v>
      </c>
    </row>
    <row r="234" spans="2:8" ht="16.5" x14ac:dyDescent="0.3">
      <c r="B234" s="11"/>
      <c r="C234" s="5" t="str">
        <f>IFERROR(_xlfn.XLOOKUP(LEFT(tb_lectura[[#This Row],[ID]],7),tb_Productos[ID PRODUCTO],tb_Productos[DESCRIPCION]),"")</f>
        <v/>
      </c>
      <c r="D234" s="15" t="str">
        <f>IFERROR(_xlfn.XLOOKUP(LEFT(tb_lectura[[#This Row],[ID]],7),tb_Productos[ID PRODUCTO],tb_Productos[precio unitario]),"")</f>
        <v/>
      </c>
      <c r="E234" s="10" t="str">
        <f>IFERROR(_xlfn.XLOOKUP(LEFT(tb_lectura[[#This Row],[ID]],7),tb_Productos[ID PRODUCTO],tb_Productos[Descuento]),"")</f>
        <v/>
      </c>
      <c r="F234" s="5" t="str">
        <f>IFERROR(_xlfn.XLOOKUP(LEFT(tb_lectura[[#This Row],[ID]],7),tb_Productos[ID PRODUCTO],tb_Productos[MARCA]),"")</f>
        <v/>
      </c>
      <c r="G23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4" s="10">
        <f>1</f>
        <v>1</v>
      </c>
    </row>
    <row r="235" spans="2:8" ht="16.5" x14ac:dyDescent="0.3">
      <c r="B235" s="11"/>
      <c r="C235" s="5" t="str">
        <f>IFERROR(_xlfn.XLOOKUP(LEFT(tb_lectura[[#This Row],[ID]],7),tb_Productos[ID PRODUCTO],tb_Productos[DESCRIPCION]),"")</f>
        <v/>
      </c>
      <c r="D235" s="15" t="str">
        <f>IFERROR(_xlfn.XLOOKUP(LEFT(tb_lectura[[#This Row],[ID]],7),tb_Productos[ID PRODUCTO],tb_Productos[precio unitario]),"")</f>
        <v/>
      </c>
      <c r="E235" s="10" t="str">
        <f>IFERROR(_xlfn.XLOOKUP(LEFT(tb_lectura[[#This Row],[ID]],7),tb_Productos[ID PRODUCTO],tb_Productos[Descuento]),"")</f>
        <v/>
      </c>
      <c r="F235" s="5" t="str">
        <f>IFERROR(_xlfn.XLOOKUP(LEFT(tb_lectura[[#This Row],[ID]],7),tb_Productos[ID PRODUCTO],tb_Productos[MARCA]),"")</f>
        <v/>
      </c>
      <c r="G23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5" s="10">
        <f>1</f>
        <v>1</v>
      </c>
    </row>
    <row r="236" spans="2:8" ht="16.5" x14ac:dyDescent="0.3">
      <c r="B236" s="11"/>
      <c r="C236" s="5" t="str">
        <f>IFERROR(_xlfn.XLOOKUP(LEFT(tb_lectura[[#This Row],[ID]],7),tb_Productos[ID PRODUCTO],tb_Productos[DESCRIPCION]),"")</f>
        <v/>
      </c>
      <c r="D236" s="15" t="str">
        <f>IFERROR(_xlfn.XLOOKUP(LEFT(tb_lectura[[#This Row],[ID]],7),tb_Productos[ID PRODUCTO],tb_Productos[precio unitario]),"")</f>
        <v/>
      </c>
      <c r="E236" s="10" t="str">
        <f>IFERROR(_xlfn.XLOOKUP(LEFT(tb_lectura[[#This Row],[ID]],7),tb_Productos[ID PRODUCTO],tb_Productos[Descuento]),"")</f>
        <v/>
      </c>
      <c r="F236" s="5" t="str">
        <f>IFERROR(_xlfn.XLOOKUP(LEFT(tb_lectura[[#This Row],[ID]],7),tb_Productos[ID PRODUCTO],tb_Productos[MARCA]),"")</f>
        <v/>
      </c>
      <c r="G23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6" s="10">
        <f>1</f>
        <v>1</v>
      </c>
    </row>
    <row r="237" spans="2:8" ht="16.5" x14ac:dyDescent="0.3">
      <c r="B237" s="11"/>
      <c r="C237" s="5" t="str">
        <f>IFERROR(_xlfn.XLOOKUP(LEFT(tb_lectura[[#This Row],[ID]],7),tb_Productos[ID PRODUCTO],tb_Productos[DESCRIPCION]),"")</f>
        <v/>
      </c>
      <c r="D237" s="15" t="str">
        <f>IFERROR(_xlfn.XLOOKUP(LEFT(tb_lectura[[#This Row],[ID]],7),tb_Productos[ID PRODUCTO],tb_Productos[precio unitario]),"")</f>
        <v/>
      </c>
      <c r="E237" s="10" t="str">
        <f>IFERROR(_xlfn.XLOOKUP(LEFT(tb_lectura[[#This Row],[ID]],7),tb_Productos[ID PRODUCTO],tb_Productos[Descuento]),"")</f>
        <v/>
      </c>
      <c r="F237" s="5" t="str">
        <f>IFERROR(_xlfn.XLOOKUP(LEFT(tb_lectura[[#This Row],[ID]],7),tb_Productos[ID PRODUCTO],tb_Productos[MARCA]),"")</f>
        <v/>
      </c>
      <c r="G23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7" s="10">
        <f>1</f>
        <v>1</v>
      </c>
    </row>
    <row r="238" spans="2:8" ht="16.5" x14ac:dyDescent="0.3">
      <c r="B238" s="11"/>
      <c r="C238" s="5" t="str">
        <f>IFERROR(_xlfn.XLOOKUP(LEFT(tb_lectura[[#This Row],[ID]],7),tb_Productos[ID PRODUCTO],tb_Productos[DESCRIPCION]),"")</f>
        <v/>
      </c>
      <c r="D238" s="15" t="str">
        <f>IFERROR(_xlfn.XLOOKUP(LEFT(tb_lectura[[#This Row],[ID]],7),tb_Productos[ID PRODUCTO],tb_Productos[precio unitario]),"")</f>
        <v/>
      </c>
      <c r="E238" s="10" t="str">
        <f>IFERROR(_xlfn.XLOOKUP(LEFT(tb_lectura[[#This Row],[ID]],7),tb_Productos[ID PRODUCTO],tb_Productos[Descuento]),"")</f>
        <v/>
      </c>
      <c r="F238" s="5" t="str">
        <f>IFERROR(_xlfn.XLOOKUP(LEFT(tb_lectura[[#This Row],[ID]],7),tb_Productos[ID PRODUCTO],tb_Productos[MARCA]),"")</f>
        <v/>
      </c>
      <c r="G23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8" s="10">
        <f>1</f>
        <v>1</v>
      </c>
    </row>
    <row r="239" spans="2:8" ht="16.5" x14ac:dyDescent="0.3">
      <c r="B239" s="11"/>
      <c r="C239" s="5" t="str">
        <f>IFERROR(_xlfn.XLOOKUP(LEFT(tb_lectura[[#This Row],[ID]],7),tb_Productos[ID PRODUCTO],tb_Productos[DESCRIPCION]),"")</f>
        <v/>
      </c>
      <c r="D239" s="15" t="str">
        <f>IFERROR(_xlfn.XLOOKUP(LEFT(tb_lectura[[#This Row],[ID]],7),tb_Productos[ID PRODUCTO],tb_Productos[precio unitario]),"")</f>
        <v/>
      </c>
      <c r="E239" s="10" t="str">
        <f>IFERROR(_xlfn.XLOOKUP(LEFT(tb_lectura[[#This Row],[ID]],7),tb_Productos[ID PRODUCTO],tb_Productos[Descuento]),"")</f>
        <v/>
      </c>
      <c r="F239" s="5" t="str">
        <f>IFERROR(_xlfn.XLOOKUP(LEFT(tb_lectura[[#This Row],[ID]],7),tb_Productos[ID PRODUCTO],tb_Productos[MARCA]),"")</f>
        <v/>
      </c>
      <c r="G23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9" s="10">
        <f>1</f>
        <v>1</v>
      </c>
    </row>
    <row r="240" spans="2:8" ht="16.5" x14ac:dyDescent="0.3">
      <c r="B240" s="11"/>
      <c r="C240" s="5" t="str">
        <f>IFERROR(_xlfn.XLOOKUP(LEFT(tb_lectura[[#This Row],[ID]],7),tb_Productos[ID PRODUCTO],tb_Productos[DESCRIPCION]),"")</f>
        <v/>
      </c>
      <c r="D240" s="15" t="str">
        <f>IFERROR(_xlfn.XLOOKUP(LEFT(tb_lectura[[#This Row],[ID]],7),tb_Productos[ID PRODUCTO],tb_Productos[precio unitario]),"")</f>
        <v/>
      </c>
      <c r="E240" s="10" t="str">
        <f>IFERROR(_xlfn.XLOOKUP(LEFT(tb_lectura[[#This Row],[ID]],7),tb_Productos[ID PRODUCTO],tb_Productos[Descuento]),"")</f>
        <v/>
      </c>
      <c r="F240" s="5" t="str">
        <f>IFERROR(_xlfn.XLOOKUP(LEFT(tb_lectura[[#This Row],[ID]],7),tb_Productos[ID PRODUCTO],tb_Productos[MARCA]),"")</f>
        <v/>
      </c>
      <c r="G24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0" s="10">
        <f>1</f>
        <v>1</v>
      </c>
    </row>
    <row r="241" spans="2:8" ht="16.5" x14ac:dyDescent="0.3">
      <c r="B241" s="11"/>
      <c r="C241" s="5" t="str">
        <f>IFERROR(_xlfn.XLOOKUP(LEFT(tb_lectura[[#This Row],[ID]],7),tb_Productos[ID PRODUCTO],tb_Productos[DESCRIPCION]),"")</f>
        <v/>
      </c>
      <c r="D241" s="15" t="str">
        <f>IFERROR(_xlfn.XLOOKUP(LEFT(tb_lectura[[#This Row],[ID]],7),tb_Productos[ID PRODUCTO],tb_Productos[precio unitario]),"")</f>
        <v/>
      </c>
      <c r="E241" s="10" t="str">
        <f>IFERROR(_xlfn.XLOOKUP(LEFT(tb_lectura[[#This Row],[ID]],7),tb_Productos[ID PRODUCTO],tb_Productos[Descuento]),"")</f>
        <v/>
      </c>
      <c r="F241" s="5" t="str">
        <f>IFERROR(_xlfn.XLOOKUP(LEFT(tb_lectura[[#This Row],[ID]],7),tb_Productos[ID PRODUCTO],tb_Productos[MARCA]),"")</f>
        <v/>
      </c>
      <c r="G24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1" s="10">
        <f>1</f>
        <v>1</v>
      </c>
    </row>
    <row r="242" spans="2:8" ht="16.5" x14ac:dyDescent="0.3">
      <c r="B242" s="11"/>
      <c r="C242" s="5" t="str">
        <f>IFERROR(_xlfn.XLOOKUP(LEFT(tb_lectura[[#This Row],[ID]],7),tb_Productos[ID PRODUCTO],tb_Productos[DESCRIPCION]),"")</f>
        <v/>
      </c>
      <c r="D242" s="15" t="str">
        <f>IFERROR(_xlfn.XLOOKUP(LEFT(tb_lectura[[#This Row],[ID]],7),tb_Productos[ID PRODUCTO],tb_Productos[precio unitario]),"")</f>
        <v/>
      </c>
      <c r="E242" s="10" t="str">
        <f>IFERROR(_xlfn.XLOOKUP(LEFT(tb_lectura[[#This Row],[ID]],7),tb_Productos[ID PRODUCTO],tb_Productos[Descuento]),"")</f>
        <v/>
      </c>
      <c r="F242" s="5" t="str">
        <f>IFERROR(_xlfn.XLOOKUP(LEFT(tb_lectura[[#This Row],[ID]],7),tb_Productos[ID PRODUCTO],tb_Productos[MARCA]),"")</f>
        <v/>
      </c>
      <c r="G24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2" s="10">
        <f>1</f>
        <v>1</v>
      </c>
    </row>
    <row r="243" spans="2:8" ht="16.5" x14ac:dyDescent="0.3">
      <c r="B243" s="11"/>
      <c r="C243" s="5" t="str">
        <f>IFERROR(_xlfn.XLOOKUP(LEFT(tb_lectura[[#This Row],[ID]],7),tb_Productos[ID PRODUCTO],tb_Productos[DESCRIPCION]),"")</f>
        <v/>
      </c>
      <c r="D243" s="15" t="str">
        <f>IFERROR(_xlfn.XLOOKUP(LEFT(tb_lectura[[#This Row],[ID]],7),tb_Productos[ID PRODUCTO],tb_Productos[precio unitario]),"")</f>
        <v/>
      </c>
      <c r="E243" s="10" t="str">
        <f>IFERROR(_xlfn.XLOOKUP(LEFT(tb_lectura[[#This Row],[ID]],7),tb_Productos[ID PRODUCTO],tb_Productos[Descuento]),"")</f>
        <v/>
      </c>
      <c r="F243" s="5" t="str">
        <f>IFERROR(_xlfn.XLOOKUP(LEFT(tb_lectura[[#This Row],[ID]],7),tb_Productos[ID PRODUCTO],tb_Productos[MARCA]),"")</f>
        <v/>
      </c>
      <c r="G24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3" s="10">
        <f>1</f>
        <v>1</v>
      </c>
    </row>
    <row r="244" spans="2:8" ht="16.5" x14ac:dyDescent="0.3">
      <c r="B244" s="11"/>
      <c r="C244" s="5" t="str">
        <f>IFERROR(_xlfn.XLOOKUP(LEFT(tb_lectura[[#This Row],[ID]],7),tb_Productos[ID PRODUCTO],tb_Productos[DESCRIPCION]),"")</f>
        <v/>
      </c>
      <c r="D244" s="15" t="str">
        <f>IFERROR(_xlfn.XLOOKUP(LEFT(tb_lectura[[#This Row],[ID]],7),tb_Productos[ID PRODUCTO],tb_Productos[precio unitario]),"")</f>
        <v/>
      </c>
      <c r="E244" s="10" t="str">
        <f>IFERROR(_xlfn.XLOOKUP(LEFT(tb_lectura[[#This Row],[ID]],7),tb_Productos[ID PRODUCTO],tb_Productos[Descuento]),"")</f>
        <v/>
      </c>
      <c r="F244" s="5" t="str">
        <f>IFERROR(_xlfn.XLOOKUP(LEFT(tb_lectura[[#This Row],[ID]],7),tb_Productos[ID PRODUCTO],tb_Productos[MARCA]),"")</f>
        <v/>
      </c>
      <c r="G24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4" s="10">
        <f>1</f>
        <v>1</v>
      </c>
    </row>
    <row r="245" spans="2:8" ht="16.5" x14ac:dyDescent="0.3">
      <c r="B245" s="11"/>
      <c r="C245" s="5" t="str">
        <f>IFERROR(_xlfn.XLOOKUP(LEFT(tb_lectura[[#This Row],[ID]],7),tb_Productos[ID PRODUCTO],tb_Productos[DESCRIPCION]),"")</f>
        <v/>
      </c>
      <c r="D245" s="15" t="str">
        <f>IFERROR(_xlfn.XLOOKUP(LEFT(tb_lectura[[#This Row],[ID]],7),tb_Productos[ID PRODUCTO],tb_Productos[precio unitario]),"")</f>
        <v/>
      </c>
      <c r="E245" s="10" t="str">
        <f>IFERROR(_xlfn.XLOOKUP(LEFT(tb_lectura[[#This Row],[ID]],7),tb_Productos[ID PRODUCTO],tb_Productos[Descuento]),"")</f>
        <v/>
      </c>
      <c r="F245" s="5" t="str">
        <f>IFERROR(_xlfn.XLOOKUP(LEFT(tb_lectura[[#This Row],[ID]],7),tb_Productos[ID PRODUCTO],tb_Productos[MARCA]),"")</f>
        <v/>
      </c>
      <c r="G24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5" s="10">
        <f>1</f>
        <v>1</v>
      </c>
    </row>
    <row r="246" spans="2:8" ht="16.5" x14ac:dyDescent="0.3">
      <c r="B246" s="11"/>
      <c r="C246" s="5" t="str">
        <f>IFERROR(_xlfn.XLOOKUP(LEFT(tb_lectura[[#This Row],[ID]],7),tb_Productos[ID PRODUCTO],tb_Productos[DESCRIPCION]),"")</f>
        <v/>
      </c>
      <c r="D246" s="15" t="str">
        <f>IFERROR(_xlfn.XLOOKUP(LEFT(tb_lectura[[#This Row],[ID]],7),tb_Productos[ID PRODUCTO],tb_Productos[precio unitario]),"")</f>
        <v/>
      </c>
      <c r="E246" s="10" t="str">
        <f>IFERROR(_xlfn.XLOOKUP(LEFT(tb_lectura[[#This Row],[ID]],7),tb_Productos[ID PRODUCTO],tb_Productos[Descuento]),"")</f>
        <v/>
      </c>
      <c r="F246" s="5" t="str">
        <f>IFERROR(_xlfn.XLOOKUP(LEFT(tb_lectura[[#This Row],[ID]],7),tb_Productos[ID PRODUCTO],tb_Productos[MARCA]),"")</f>
        <v/>
      </c>
      <c r="G24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6" s="10">
        <f>1</f>
        <v>1</v>
      </c>
    </row>
    <row r="247" spans="2:8" ht="16.5" x14ac:dyDescent="0.3">
      <c r="B247" s="11"/>
      <c r="C247" s="5" t="str">
        <f>IFERROR(_xlfn.XLOOKUP(LEFT(tb_lectura[[#This Row],[ID]],7),tb_Productos[ID PRODUCTO],tb_Productos[DESCRIPCION]),"")</f>
        <v/>
      </c>
      <c r="D247" s="15" t="str">
        <f>IFERROR(_xlfn.XLOOKUP(LEFT(tb_lectura[[#This Row],[ID]],7),tb_Productos[ID PRODUCTO],tb_Productos[precio unitario]),"")</f>
        <v/>
      </c>
      <c r="E247" s="10" t="str">
        <f>IFERROR(_xlfn.XLOOKUP(LEFT(tb_lectura[[#This Row],[ID]],7),tb_Productos[ID PRODUCTO],tb_Productos[Descuento]),"")</f>
        <v/>
      </c>
      <c r="F247" s="5" t="str">
        <f>IFERROR(_xlfn.XLOOKUP(LEFT(tb_lectura[[#This Row],[ID]],7),tb_Productos[ID PRODUCTO],tb_Productos[MARCA]),"")</f>
        <v/>
      </c>
      <c r="G24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7" s="10">
        <f>1</f>
        <v>1</v>
      </c>
    </row>
    <row r="248" spans="2:8" ht="16.5" x14ac:dyDescent="0.3">
      <c r="B248" s="11"/>
      <c r="C248" s="5" t="str">
        <f>IFERROR(_xlfn.XLOOKUP(LEFT(tb_lectura[[#This Row],[ID]],7),tb_Productos[ID PRODUCTO],tb_Productos[DESCRIPCION]),"")</f>
        <v/>
      </c>
      <c r="D248" s="15" t="str">
        <f>IFERROR(_xlfn.XLOOKUP(LEFT(tb_lectura[[#This Row],[ID]],7),tb_Productos[ID PRODUCTO],tb_Productos[precio unitario]),"")</f>
        <v/>
      </c>
      <c r="E248" s="10" t="str">
        <f>IFERROR(_xlfn.XLOOKUP(LEFT(tb_lectura[[#This Row],[ID]],7),tb_Productos[ID PRODUCTO],tb_Productos[Descuento]),"")</f>
        <v/>
      </c>
      <c r="F248" s="5" t="str">
        <f>IFERROR(_xlfn.XLOOKUP(LEFT(tb_lectura[[#This Row],[ID]],7),tb_Productos[ID PRODUCTO],tb_Productos[MARCA]),"")</f>
        <v/>
      </c>
      <c r="G24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8" s="10">
        <f>1</f>
        <v>1</v>
      </c>
    </row>
    <row r="249" spans="2:8" ht="16.5" x14ac:dyDescent="0.3">
      <c r="B249" s="11"/>
      <c r="C249" s="5" t="str">
        <f>IFERROR(_xlfn.XLOOKUP(LEFT(tb_lectura[[#This Row],[ID]],7),tb_Productos[ID PRODUCTO],tb_Productos[DESCRIPCION]),"")</f>
        <v/>
      </c>
      <c r="D249" s="15" t="str">
        <f>IFERROR(_xlfn.XLOOKUP(LEFT(tb_lectura[[#This Row],[ID]],7),tb_Productos[ID PRODUCTO],tb_Productos[precio unitario]),"")</f>
        <v/>
      </c>
      <c r="E249" s="10" t="str">
        <f>IFERROR(_xlfn.XLOOKUP(LEFT(tb_lectura[[#This Row],[ID]],7),tb_Productos[ID PRODUCTO],tb_Productos[Descuento]),"")</f>
        <v/>
      </c>
      <c r="F249" s="5" t="str">
        <f>IFERROR(_xlfn.XLOOKUP(LEFT(tb_lectura[[#This Row],[ID]],7),tb_Productos[ID PRODUCTO],tb_Productos[MARCA]),"")</f>
        <v/>
      </c>
      <c r="G24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9" s="10">
        <f>1</f>
        <v>1</v>
      </c>
    </row>
    <row r="250" spans="2:8" ht="16.5" x14ac:dyDescent="0.3">
      <c r="B250" s="11"/>
      <c r="C250" s="5" t="str">
        <f>IFERROR(_xlfn.XLOOKUP(LEFT(tb_lectura[[#This Row],[ID]],7),tb_Productos[ID PRODUCTO],tb_Productos[DESCRIPCION]),"")</f>
        <v/>
      </c>
      <c r="D250" s="15" t="str">
        <f>IFERROR(_xlfn.XLOOKUP(LEFT(tb_lectura[[#This Row],[ID]],7),tb_Productos[ID PRODUCTO],tb_Productos[precio unitario]),"")</f>
        <v/>
      </c>
      <c r="E250" s="10" t="str">
        <f>IFERROR(_xlfn.XLOOKUP(LEFT(tb_lectura[[#This Row],[ID]],7),tb_Productos[ID PRODUCTO],tb_Productos[Descuento]),"")</f>
        <v/>
      </c>
      <c r="F250" s="5" t="str">
        <f>IFERROR(_xlfn.XLOOKUP(LEFT(tb_lectura[[#This Row],[ID]],7),tb_Productos[ID PRODUCTO],tb_Productos[MARCA]),"")</f>
        <v/>
      </c>
      <c r="G25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0" s="10">
        <f>1</f>
        <v>1</v>
      </c>
    </row>
    <row r="251" spans="2:8" ht="16.5" x14ac:dyDescent="0.3">
      <c r="B251" s="11"/>
      <c r="C251" s="5" t="str">
        <f>IFERROR(_xlfn.XLOOKUP(LEFT(tb_lectura[[#This Row],[ID]],7),tb_Productos[ID PRODUCTO],tb_Productos[DESCRIPCION]),"")</f>
        <v/>
      </c>
      <c r="D251" s="15" t="str">
        <f>IFERROR(_xlfn.XLOOKUP(LEFT(tb_lectura[[#This Row],[ID]],7),tb_Productos[ID PRODUCTO],tb_Productos[precio unitario]),"")</f>
        <v/>
      </c>
      <c r="E251" s="10" t="str">
        <f>IFERROR(_xlfn.XLOOKUP(LEFT(tb_lectura[[#This Row],[ID]],7),tb_Productos[ID PRODUCTO],tb_Productos[Descuento]),"")</f>
        <v/>
      </c>
      <c r="F251" s="5" t="str">
        <f>IFERROR(_xlfn.XLOOKUP(LEFT(tb_lectura[[#This Row],[ID]],7),tb_Productos[ID PRODUCTO],tb_Productos[MARCA]),"")</f>
        <v/>
      </c>
      <c r="G25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1" s="10">
        <f>1</f>
        <v>1</v>
      </c>
    </row>
    <row r="252" spans="2:8" ht="16.5" x14ac:dyDescent="0.3">
      <c r="B252" s="11"/>
      <c r="C252" s="5" t="str">
        <f>IFERROR(_xlfn.XLOOKUP(LEFT(tb_lectura[[#This Row],[ID]],7),tb_Productos[ID PRODUCTO],tb_Productos[DESCRIPCION]),"")</f>
        <v/>
      </c>
      <c r="D252" s="15" t="str">
        <f>IFERROR(_xlfn.XLOOKUP(LEFT(tb_lectura[[#This Row],[ID]],7),tb_Productos[ID PRODUCTO],tb_Productos[precio unitario]),"")</f>
        <v/>
      </c>
      <c r="E252" s="10" t="str">
        <f>IFERROR(_xlfn.XLOOKUP(LEFT(tb_lectura[[#This Row],[ID]],7),tb_Productos[ID PRODUCTO],tb_Productos[Descuento]),"")</f>
        <v/>
      </c>
      <c r="F252" s="5" t="str">
        <f>IFERROR(_xlfn.XLOOKUP(LEFT(tb_lectura[[#This Row],[ID]],7),tb_Productos[ID PRODUCTO],tb_Productos[MARCA]),"")</f>
        <v/>
      </c>
      <c r="G25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2" s="10">
        <f>1</f>
        <v>1</v>
      </c>
    </row>
    <row r="253" spans="2:8" ht="16.5" x14ac:dyDescent="0.3">
      <c r="B253" s="11"/>
      <c r="C253" s="5" t="str">
        <f>IFERROR(_xlfn.XLOOKUP(LEFT(tb_lectura[[#This Row],[ID]],7),tb_Productos[ID PRODUCTO],tb_Productos[DESCRIPCION]),"")</f>
        <v/>
      </c>
      <c r="D253" s="15" t="str">
        <f>IFERROR(_xlfn.XLOOKUP(LEFT(tb_lectura[[#This Row],[ID]],7),tb_Productos[ID PRODUCTO],tb_Productos[precio unitario]),"")</f>
        <v/>
      </c>
      <c r="E253" s="10" t="str">
        <f>IFERROR(_xlfn.XLOOKUP(LEFT(tb_lectura[[#This Row],[ID]],7),tb_Productos[ID PRODUCTO],tb_Productos[Descuento]),"")</f>
        <v/>
      </c>
      <c r="F253" s="5" t="str">
        <f>IFERROR(_xlfn.XLOOKUP(LEFT(tb_lectura[[#This Row],[ID]],7),tb_Productos[ID PRODUCTO],tb_Productos[MARCA]),"")</f>
        <v/>
      </c>
      <c r="G25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3" s="10">
        <f>1</f>
        <v>1</v>
      </c>
    </row>
    <row r="254" spans="2:8" ht="16.5" x14ac:dyDescent="0.3">
      <c r="B254" s="11"/>
      <c r="C254" s="5" t="str">
        <f>IFERROR(_xlfn.XLOOKUP(LEFT(tb_lectura[[#This Row],[ID]],7),tb_Productos[ID PRODUCTO],tb_Productos[DESCRIPCION]),"")</f>
        <v/>
      </c>
      <c r="D254" s="15" t="str">
        <f>IFERROR(_xlfn.XLOOKUP(LEFT(tb_lectura[[#This Row],[ID]],7),tb_Productos[ID PRODUCTO],tb_Productos[precio unitario]),"")</f>
        <v/>
      </c>
      <c r="E254" s="10" t="str">
        <f>IFERROR(_xlfn.XLOOKUP(LEFT(tb_lectura[[#This Row],[ID]],7),tb_Productos[ID PRODUCTO],tb_Productos[Descuento]),"")</f>
        <v/>
      </c>
      <c r="F254" s="5" t="str">
        <f>IFERROR(_xlfn.XLOOKUP(LEFT(tb_lectura[[#This Row],[ID]],7),tb_Productos[ID PRODUCTO],tb_Productos[MARCA]),"")</f>
        <v/>
      </c>
      <c r="G25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4" s="10">
        <f>1</f>
        <v>1</v>
      </c>
    </row>
    <row r="255" spans="2:8" ht="16.5" x14ac:dyDescent="0.3">
      <c r="B255" s="11"/>
      <c r="C255" s="5" t="str">
        <f>IFERROR(_xlfn.XLOOKUP(LEFT(tb_lectura[[#This Row],[ID]],7),tb_Productos[ID PRODUCTO],tb_Productos[DESCRIPCION]),"")</f>
        <v/>
      </c>
      <c r="D255" s="15" t="str">
        <f>IFERROR(_xlfn.XLOOKUP(LEFT(tb_lectura[[#This Row],[ID]],7),tb_Productos[ID PRODUCTO],tb_Productos[precio unitario]),"")</f>
        <v/>
      </c>
      <c r="E255" s="10" t="str">
        <f>IFERROR(_xlfn.XLOOKUP(LEFT(tb_lectura[[#This Row],[ID]],7),tb_Productos[ID PRODUCTO],tb_Productos[Descuento]),"")</f>
        <v/>
      </c>
      <c r="F255" s="5" t="str">
        <f>IFERROR(_xlfn.XLOOKUP(LEFT(tb_lectura[[#This Row],[ID]],7),tb_Productos[ID PRODUCTO],tb_Productos[MARCA]),"")</f>
        <v/>
      </c>
      <c r="G25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5" s="10">
        <f>1</f>
        <v>1</v>
      </c>
    </row>
    <row r="256" spans="2:8" ht="16.5" x14ac:dyDescent="0.3">
      <c r="B256" s="11"/>
      <c r="C256" s="5" t="str">
        <f>IFERROR(_xlfn.XLOOKUP(LEFT(tb_lectura[[#This Row],[ID]],7),tb_Productos[ID PRODUCTO],tb_Productos[DESCRIPCION]),"")</f>
        <v/>
      </c>
      <c r="D256" s="15" t="str">
        <f>IFERROR(_xlfn.XLOOKUP(LEFT(tb_lectura[[#This Row],[ID]],7),tb_Productos[ID PRODUCTO],tb_Productos[precio unitario]),"")</f>
        <v/>
      </c>
      <c r="E256" s="10" t="str">
        <f>IFERROR(_xlfn.XLOOKUP(LEFT(tb_lectura[[#This Row],[ID]],7),tb_Productos[ID PRODUCTO],tb_Productos[Descuento]),"")</f>
        <v/>
      </c>
      <c r="F256" s="5" t="str">
        <f>IFERROR(_xlfn.XLOOKUP(LEFT(tb_lectura[[#This Row],[ID]],7),tb_Productos[ID PRODUCTO],tb_Productos[MARCA]),"")</f>
        <v/>
      </c>
      <c r="G25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6" s="10">
        <f>1</f>
        <v>1</v>
      </c>
    </row>
    <row r="257" spans="2:8" ht="16.5" x14ac:dyDescent="0.3">
      <c r="B257" s="11"/>
      <c r="C257" s="5" t="str">
        <f>IFERROR(_xlfn.XLOOKUP(LEFT(tb_lectura[[#This Row],[ID]],7),tb_Productos[ID PRODUCTO],tb_Productos[DESCRIPCION]),"")</f>
        <v/>
      </c>
      <c r="D257" s="15" t="str">
        <f>IFERROR(_xlfn.XLOOKUP(LEFT(tb_lectura[[#This Row],[ID]],7),tb_Productos[ID PRODUCTO],tb_Productos[precio unitario]),"")</f>
        <v/>
      </c>
      <c r="E257" s="10" t="str">
        <f>IFERROR(_xlfn.XLOOKUP(LEFT(tb_lectura[[#This Row],[ID]],7),tb_Productos[ID PRODUCTO],tb_Productos[Descuento]),"")</f>
        <v/>
      </c>
      <c r="F257" s="5" t="str">
        <f>IFERROR(_xlfn.XLOOKUP(LEFT(tb_lectura[[#This Row],[ID]],7),tb_Productos[ID PRODUCTO],tb_Productos[MARCA]),"")</f>
        <v/>
      </c>
      <c r="G25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7" s="10">
        <f>1</f>
        <v>1</v>
      </c>
    </row>
    <row r="258" spans="2:8" ht="16.5" x14ac:dyDescent="0.3">
      <c r="B258" s="11"/>
      <c r="C258" s="5" t="str">
        <f>IFERROR(_xlfn.XLOOKUP(LEFT(tb_lectura[[#This Row],[ID]],7),tb_Productos[ID PRODUCTO],tb_Productos[DESCRIPCION]),"")</f>
        <v/>
      </c>
      <c r="D258" s="15" t="str">
        <f>IFERROR(_xlfn.XLOOKUP(LEFT(tb_lectura[[#This Row],[ID]],7),tb_Productos[ID PRODUCTO],tb_Productos[precio unitario]),"")</f>
        <v/>
      </c>
      <c r="E258" s="10" t="str">
        <f>IFERROR(_xlfn.XLOOKUP(LEFT(tb_lectura[[#This Row],[ID]],7),tb_Productos[ID PRODUCTO],tb_Productos[Descuento]),"")</f>
        <v/>
      </c>
      <c r="F258" s="5" t="str">
        <f>IFERROR(_xlfn.XLOOKUP(LEFT(tb_lectura[[#This Row],[ID]],7),tb_Productos[ID PRODUCTO],tb_Productos[MARCA]),"")</f>
        <v/>
      </c>
      <c r="G25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8" s="10">
        <f>1</f>
        <v>1</v>
      </c>
    </row>
    <row r="259" spans="2:8" ht="16.5" x14ac:dyDescent="0.3">
      <c r="B259" s="11"/>
      <c r="C259" s="5" t="str">
        <f>IFERROR(_xlfn.XLOOKUP(LEFT(tb_lectura[[#This Row],[ID]],7),tb_Productos[ID PRODUCTO],tb_Productos[DESCRIPCION]),"")</f>
        <v/>
      </c>
      <c r="D259" s="15" t="str">
        <f>IFERROR(_xlfn.XLOOKUP(LEFT(tb_lectura[[#This Row],[ID]],7),tb_Productos[ID PRODUCTO],tb_Productos[precio unitario]),"")</f>
        <v/>
      </c>
      <c r="E259" s="10" t="str">
        <f>IFERROR(_xlfn.XLOOKUP(LEFT(tb_lectura[[#This Row],[ID]],7),tb_Productos[ID PRODUCTO],tb_Productos[Descuento]),"")</f>
        <v/>
      </c>
      <c r="F259" s="5" t="str">
        <f>IFERROR(_xlfn.XLOOKUP(LEFT(tb_lectura[[#This Row],[ID]],7),tb_Productos[ID PRODUCTO],tb_Productos[MARCA]),"")</f>
        <v/>
      </c>
      <c r="G25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9" s="10">
        <f>1</f>
        <v>1</v>
      </c>
    </row>
    <row r="260" spans="2:8" ht="16.5" x14ac:dyDescent="0.3">
      <c r="B260" s="11"/>
      <c r="C260" s="5" t="str">
        <f>IFERROR(_xlfn.XLOOKUP(LEFT(tb_lectura[[#This Row],[ID]],7),tb_Productos[ID PRODUCTO],tb_Productos[DESCRIPCION]),"")</f>
        <v/>
      </c>
      <c r="D260" s="15" t="str">
        <f>IFERROR(_xlfn.XLOOKUP(LEFT(tb_lectura[[#This Row],[ID]],7),tb_Productos[ID PRODUCTO],tb_Productos[precio unitario]),"")</f>
        <v/>
      </c>
      <c r="E260" s="10" t="str">
        <f>IFERROR(_xlfn.XLOOKUP(LEFT(tb_lectura[[#This Row],[ID]],7),tb_Productos[ID PRODUCTO],tb_Productos[Descuento]),"")</f>
        <v/>
      </c>
      <c r="F260" s="5" t="str">
        <f>IFERROR(_xlfn.XLOOKUP(LEFT(tb_lectura[[#This Row],[ID]],7),tb_Productos[ID PRODUCTO],tb_Productos[MARCA]),"")</f>
        <v/>
      </c>
      <c r="G26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0" s="10">
        <f>1</f>
        <v>1</v>
      </c>
    </row>
    <row r="261" spans="2:8" ht="16.5" x14ac:dyDescent="0.3">
      <c r="B261" s="11"/>
      <c r="C261" s="5" t="str">
        <f>IFERROR(_xlfn.XLOOKUP(LEFT(tb_lectura[[#This Row],[ID]],7),tb_Productos[ID PRODUCTO],tb_Productos[DESCRIPCION]),"")</f>
        <v/>
      </c>
      <c r="D261" s="15" t="str">
        <f>IFERROR(_xlfn.XLOOKUP(LEFT(tb_lectura[[#This Row],[ID]],7),tb_Productos[ID PRODUCTO],tb_Productos[precio unitario]),"")</f>
        <v/>
      </c>
      <c r="E261" s="10" t="str">
        <f>IFERROR(_xlfn.XLOOKUP(LEFT(tb_lectura[[#This Row],[ID]],7),tb_Productos[ID PRODUCTO],tb_Productos[Descuento]),"")</f>
        <v/>
      </c>
      <c r="F261" s="5" t="str">
        <f>IFERROR(_xlfn.XLOOKUP(LEFT(tb_lectura[[#This Row],[ID]],7),tb_Productos[ID PRODUCTO],tb_Productos[MARCA]),"")</f>
        <v/>
      </c>
      <c r="G26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1" s="10">
        <f>1</f>
        <v>1</v>
      </c>
    </row>
    <row r="262" spans="2:8" ht="16.5" x14ac:dyDescent="0.3">
      <c r="B262" s="11"/>
      <c r="C262" s="5" t="str">
        <f>IFERROR(_xlfn.XLOOKUP(LEFT(tb_lectura[[#This Row],[ID]],7),tb_Productos[ID PRODUCTO],tb_Productos[DESCRIPCION]),"")</f>
        <v/>
      </c>
      <c r="D262" s="15" t="str">
        <f>IFERROR(_xlfn.XLOOKUP(LEFT(tb_lectura[[#This Row],[ID]],7),tb_Productos[ID PRODUCTO],tb_Productos[precio unitario]),"")</f>
        <v/>
      </c>
      <c r="E262" s="10" t="str">
        <f>IFERROR(_xlfn.XLOOKUP(LEFT(tb_lectura[[#This Row],[ID]],7),tb_Productos[ID PRODUCTO],tb_Productos[Descuento]),"")</f>
        <v/>
      </c>
      <c r="F262" s="5" t="str">
        <f>IFERROR(_xlfn.XLOOKUP(LEFT(tb_lectura[[#This Row],[ID]],7),tb_Productos[ID PRODUCTO],tb_Productos[MARCA]),"")</f>
        <v/>
      </c>
      <c r="G26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2" s="10">
        <f>1</f>
        <v>1</v>
      </c>
    </row>
    <row r="263" spans="2:8" ht="16.5" x14ac:dyDescent="0.3">
      <c r="B263" s="11"/>
      <c r="C263" s="5" t="str">
        <f>IFERROR(_xlfn.XLOOKUP(LEFT(tb_lectura[[#This Row],[ID]],7),tb_Productos[ID PRODUCTO],tb_Productos[DESCRIPCION]),"")</f>
        <v/>
      </c>
      <c r="D263" s="15" t="str">
        <f>IFERROR(_xlfn.XLOOKUP(LEFT(tb_lectura[[#This Row],[ID]],7),tb_Productos[ID PRODUCTO],tb_Productos[precio unitario]),"")</f>
        <v/>
      </c>
      <c r="E263" s="10" t="str">
        <f>IFERROR(_xlfn.XLOOKUP(LEFT(tb_lectura[[#This Row],[ID]],7),tb_Productos[ID PRODUCTO],tb_Productos[Descuento]),"")</f>
        <v/>
      </c>
      <c r="F263" s="5" t="str">
        <f>IFERROR(_xlfn.XLOOKUP(LEFT(tb_lectura[[#This Row],[ID]],7),tb_Productos[ID PRODUCTO],tb_Productos[MARCA]),"")</f>
        <v/>
      </c>
      <c r="G26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3" s="10">
        <f>1</f>
        <v>1</v>
      </c>
    </row>
    <row r="264" spans="2:8" ht="16.5" x14ac:dyDescent="0.3">
      <c r="B264" s="11"/>
      <c r="C264" s="5" t="str">
        <f>IFERROR(_xlfn.XLOOKUP(LEFT(tb_lectura[[#This Row],[ID]],7),tb_Productos[ID PRODUCTO],tb_Productos[DESCRIPCION]),"")</f>
        <v/>
      </c>
      <c r="D264" s="15" t="str">
        <f>IFERROR(_xlfn.XLOOKUP(LEFT(tb_lectura[[#This Row],[ID]],7),tb_Productos[ID PRODUCTO],tb_Productos[precio unitario]),"")</f>
        <v/>
      </c>
      <c r="E264" s="10" t="str">
        <f>IFERROR(_xlfn.XLOOKUP(LEFT(tb_lectura[[#This Row],[ID]],7),tb_Productos[ID PRODUCTO],tb_Productos[Descuento]),"")</f>
        <v/>
      </c>
      <c r="F264" s="5" t="str">
        <f>IFERROR(_xlfn.XLOOKUP(LEFT(tb_lectura[[#This Row],[ID]],7),tb_Productos[ID PRODUCTO],tb_Productos[MARCA]),"")</f>
        <v/>
      </c>
      <c r="G26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4" s="10">
        <f>1</f>
        <v>1</v>
      </c>
    </row>
    <row r="265" spans="2:8" ht="16.5" x14ac:dyDescent="0.3">
      <c r="B265" s="11"/>
      <c r="C265" s="5" t="str">
        <f>IFERROR(_xlfn.XLOOKUP(LEFT(tb_lectura[[#This Row],[ID]],7),tb_Productos[ID PRODUCTO],tb_Productos[DESCRIPCION]),"")</f>
        <v/>
      </c>
      <c r="D265" s="15" t="str">
        <f>IFERROR(_xlfn.XLOOKUP(LEFT(tb_lectura[[#This Row],[ID]],7),tb_Productos[ID PRODUCTO],tb_Productos[precio unitario]),"")</f>
        <v/>
      </c>
      <c r="E265" s="10" t="str">
        <f>IFERROR(_xlfn.XLOOKUP(LEFT(tb_lectura[[#This Row],[ID]],7),tb_Productos[ID PRODUCTO],tb_Productos[Descuento]),"")</f>
        <v/>
      </c>
      <c r="F265" s="5" t="str">
        <f>IFERROR(_xlfn.XLOOKUP(LEFT(tb_lectura[[#This Row],[ID]],7),tb_Productos[ID PRODUCTO],tb_Productos[MARCA]),"")</f>
        <v/>
      </c>
      <c r="G26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5" s="10">
        <f>1</f>
        <v>1</v>
      </c>
    </row>
    <row r="266" spans="2:8" ht="16.5" x14ac:dyDescent="0.3">
      <c r="B266" s="11"/>
      <c r="C266" s="5" t="str">
        <f>IFERROR(_xlfn.XLOOKUP(LEFT(tb_lectura[[#This Row],[ID]],7),tb_Productos[ID PRODUCTO],tb_Productos[DESCRIPCION]),"")</f>
        <v/>
      </c>
      <c r="D266" s="15" t="str">
        <f>IFERROR(_xlfn.XLOOKUP(LEFT(tb_lectura[[#This Row],[ID]],7),tb_Productos[ID PRODUCTO],tb_Productos[precio unitario]),"")</f>
        <v/>
      </c>
      <c r="E266" s="10" t="str">
        <f>IFERROR(_xlfn.XLOOKUP(LEFT(tb_lectura[[#This Row],[ID]],7),tb_Productos[ID PRODUCTO],tb_Productos[Descuento]),"")</f>
        <v/>
      </c>
      <c r="F266" s="5" t="str">
        <f>IFERROR(_xlfn.XLOOKUP(LEFT(tb_lectura[[#This Row],[ID]],7),tb_Productos[ID PRODUCTO],tb_Productos[MARCA]),"")</f>
        <v/>
      </c>
      <c r="G26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6" s="10">
        <f>1</f>
        <v>1</v>
      </c>
    </row>
    <row r="267" spans="2:8" ht="16.5" x14ac:dyDescent="0.3">
      <c r="B267" s="11"/>
      <c r="C267" s="10" t="str">
        <f>IFERROR(_xlfn.XLOOKUP(LEFT(tb_lectura[[#This Row],[ID]],7),tb_Productos[ID PRODUCTO],tb_Productos[DESCRIPCION]),"")</f>
        <v/>
      </c>
      <c r="D267" s="10" t="str">
        <f>IFERROR(_xlfn.XLOOKUP(LEFT(tb_lectura[[#This Row],[ID]],7),tb_Productos[ID PRODUCTO],tb_Productos[precio unitario]),"")</f>
        <v/>
      </c>
      <c r="E267" s="10" t="str">
        <f>IFERROR(_xlfn.XLOOKUP(LEFT(tb_lectura[[#This Row],[ID]],7),tb_Productos[ID PRODUCTO],tb_Productos[Descuento]),"")</f>
        <v/>
      </c>
      <c r="F267" s="5" t="str">
        <f>IFERROR(_xlfn.XLOOKUP(LEFT(tb_lectura[[#This Row],[ID]],7),tb_Productos[ID PRODUCTO],tb_Productos[MARCA]),"")</f>
        <v/>
      </c>
      <c r="G26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</row>
    <row r="268" spans="2:8" ht="16.5" x14ac:dyDescent="0.3">
      <c r="B268" s="11"/>
      <c r="C268" s="10" t="str">
        <f>IFERROR(_xlfn.XLOOKUP(LEFT(tb_lectura[[#This Row],[ID]],7),tb_Productos[ID PRODUCTO],tb_Productos[DESCRIPCION]),"")</f>
        <v/>
      </c>
      <c r="D268" s="10" t="str">
        <f>IFERROR(_xlfn.XLOOKUP(LEFT(tb_lectura[[#This Row],[ID]],7),tb_Productos[ID PRODUCTO],tb_Productos[precio unitario]),"")</f>
        <v/>
      </c>
      <c r="E268" s="10" t="str">
        <f>IFERROR(_xlfn.XLOOKUP(LEFT(tb_lectura[[#This Row],[ID]],7),tb_Productos[ID PRODUCTO],tb_Productos[Descuento]),"")</f>
        <v/>
      </c>
      <c r="F268" s="5" t="str">
        <f>IFERROR(_xlfn.XLOOKUP(LEFT(tb_lectura[[#This Row],[ID]],7),tb_Productos[ID PRODUCTO],tb_Productos[MARCA]),"")</f>
        <v/>
      </c>
      <c r="G26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</row>
    <row r="269" spans="2:8" ht="16.5" x14ac:dyDescent="0.3">
      <c r="B269" s="11"/>
      <c r="C269" s="10" t="str">
        <f>IFERROR(_xlfn.XLOOKUP(LEFT(tb_lectura[[#This Row],[ID]],7),tb_Productos[ID PRODUCTO],tb_Productos[DESCRIPCION]),"")</f>
        <v/>
      </c>
      <c r="D269" s="10" t="str">
        <f>IFERROR(_xlfn.XLOOKUP(LEFT(tb_lectura[[#This Row],[ID]],7),tb_Productos[ID PRODUCTO],tb_Productos[precio unitario]),"")</f>
        <v/>
      </c>
      <c r="E269" s="10" t="str">
        <f>IFERROR(_xlfn.XLOOKUP(LEFT(tb_lectura[[#This Row],[ID]],7),tb_Productos[ID PRODUCTO],tb_Productos[Descuento]),"")</f>
        <v/>
      </c>
      <c r="F269" s="5" t="str">
        <f>IFERROR(_xlfn.XLOOKUP(LEFT(tb_lectura[[#This Row],[ID]],7),tb_Productos[ID PRODUCTO],tb_Productos[MARCA]),"")</f>
        <v/>
      </c>
      <c r="G26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</row>
    <row r="270" spans="2:8" ht="16.5" x14ac:dyDescent="0.3">
      <c r="B270" s="11"/>
      <c r="C270" s="10" t="str">
        <f>IFERROR(_xlfn.XLOOKUP(LEFT(tb_lectura[[#This Row],[ID]],7),tb_Productos[ID PRODUCTO],tb_Productos[DESCRIPCION]),"")</f>
        <v/>
      </c>
      <c r="D270" s="10" t="str">
        <f>IFERROR(_xlfn.XLOOKUP(LEFT(tb_lectura[[#This Row],[ID]],7),tb_Productos[ID PRODUCTO],tb_Productos[precio unitario]),"")</f>
        <v/>
      </c>
      <c r="E270" s="10" t="str">
        <f>IFERROR(_xlfn.XLOOKUP(LEFT(tb_lectura[[#This Row],[ID]],7),tb_Productos[ID PRODUCTO],tb_Productos[Descuento]),"")</f>
        <v/>
      </c>
      <c r="F270" s="5" t="str">
        <f>IFERROR(_xlfn.XLOOKUP(LEFT(tb_lectura[[#This Row],[ID]],7),tb_Productos[ID PRODUCTO],tb_Productos[MARCA]),"")</f>
        <v/>
      </c>
      <c r="G27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</row>
    <row r="271" spans="2:8" ht="16.5" x14ac:dyDescent="0.3">
      <c r="B271" s="11"/>
      <c r="C271" s="10" t="str">
        <f>IFERROR(_xlfn.XLOOKUP(LEFT(tb_lectura[[#This Row],[ID]],7),tb_Productos[ID PRODUCTO],tb_Productos[DESCRIPCION]),"")</f>
        <v/>
      </c>
      <c r="D271" s="10" t="str">
        <f>IFERROR(_xlfn.XLOOKUP(LEFT(tb_lectura[[#This Row],[ID]],7),tb_Productos[ID PRODUCTO],tb_Productos[precio unitario]),"")</f>
        <v/>
      </c>
      <c r="E271" s="10" t="str">
        <f>IFERROR(_xlfn.XLOOKUP(LEFT(tb_lectura[[#This Row],[ID]],7),tb_Productos[ID PRODUCTO],tb_Productos[Descuento]),"")</f>
        <v/>
      </c>
      <c r="F271" s="5" t="str">
        <f>IFERROR(_xlfn.XLOOKUP(LEFT(tb_lectura[[#This Row],[ID]],7),tb_Productos[ID PRODUCTO],tb_Productos[MARCA]),"")</f>
        <v/>
      </c>
      <c r="G27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</row>
    <row r="272" spans="2:8" ht="16.5" x14ac:dyDescent="0.3">
      <c r="B272" s="11"/>
      <c r="C272" s="5" t="str">
        <f>IFERROR(_xlfn.XLOOKUP(LEFT(tb_lectura[[#This Row],[ID]],7),tb_Productos[ID PRODUCTO],tb_Productos[DESCRIPCION]),"")</f>
        <v/>
      </c>
      <c r="D272" s="10" t="str">
        <f>IFERROR(_xlfn.XLOOKUP(LEFT(tb_lectura[[#This Row],[ID]],7),tb_Productos[ID PRODUCTO],tb_Productos[precio unitario]),"")</f>
        <v/>
      </c>
      <c r="E272" s="10" t="str">
        <f>IFERROR(_xlfn.XLOOKUP(LEFT(tb_lectura[[#This Row],[ID]],7),tb_Productos[ID PRODUCTO],tb_Productos[Descuento]),"")</f>
        <v/>
      </c>
      <c r="F272" s="5" t="str">
        <f>IFERROR(_xlfn.XLOOKUP(LEFT(tb_lectura[[#This Row],[ID]],7),tb_Productos[ID PRODUCTO],tb_Productos[MARCA]),"")</f>
        <v/>
      </c>
      <c r="G27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</row>
  </sheetData>
  <sheetProtection selectLockedCells="1"/>
  <mergeCells count="8">
    <mergeCell ref="C15:E15"/>
    <mergeCell ref="C10:E10"/>
    <mergeCell ref="A2:G4"/>
    <mergeCell ref="C11:E11"/>
    <mergeCell ref="C12:E12"/>
    <mergeCell ref="C13:E13"/>
    <mergeCell ref="C14:E14"/>
    <mergeCell ref="G10:G11"/>
  </mergeCells>
  <conditionalFormatting sqref="C10">
    <cfRule type="cellIs" dxfId="1" priority="1" operator="equal">
      <formula>""</formula>
    </cfRule>
  </conditionalFormatting>
  <dataValidations count="3">
    <dataValidation type="list" allowBlank="1" showInputMessage="1" showErrorMessage="1" sqref="C10:E10" xr:uid="{5A40AF3C-83B8-4236-8C08-2B9045DF37E5}">
      <formula1>doc_Clientes</formula1>
    </dataValidation>
    <dataValidation allowBlank="1" showInputMessage="1" showErrorMessage="1" sqref="C18:C266" xr:uid="{3F5C1A48-EA33-4385-A587-E46E200F530F}"/>
    <dataValidation type="list" allowBlank="1" showInputMessage="1" showErrorMessage="1" sqref="B18:B266" xr:uid="{B648BD4F-B4DD-40CA-B8FE-826FD834CC65}">
      <formula1>ID_PRODUCTOS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85B1F-7772-4D4F-ABBF-5794C782581B}">
  <sheetPr codeName="Sheet6">
    <pageSetUpPr fitToPage="1"/>
  </sheetPr>
  <dimension ref="A2:M63"/>
  <sheetViews>
    <sheetView showGridLines="0" zoomScale="130" zoomScaleNormal="130" zoomScalePageLayoutView="55" workbookViewId="0">
      <selection activeCell="C16" sqref="C16"/>
    </sheetView>
  </sheetViews>
  <sheetFormatPr defaultRowHeight="15" x14ac:dyDescent="0.25"/>
  <cols>
    <col min="1" max="1" width="5.7109375" customWidth="1"/>
    <col min="2" max="2" width="13.5703125" bestFit="1" customWidth="1"/>
    <col min="3" max="3" width="46.7109375" bestFit="1" customWidth="1"/>
    <col min="4" max="4" width="11.5703125" bestFit="1" customWidth="1"/>
    <col min="5" max="5" width="12.5703125" bestFit="1" customWidth="1"/>
    <col min="6" max="6" width="20.42578125" bestFit="1" customWidth="1"/>
    <col min="7" max="7" width="19.7109375" bestFit="1" customWidth="1"/>
    <col min="8" max="8" width="21.140625" bestFit="1" customWidth="1"/>
    <col min="9" max="9" width="11.28515625" bestFit="1" customWidth="1"/>
  </cols>
  <sheetData>
    <row r="2" spans="1:10" ht="15" customHeight="1" x14ac:dyDescent="0.25">
      <c r="B2" s="91"/>
      <c r="C2" s="91"/>
      <c r="D2" s="91"/>
      <c r="E2" s="16"/>
      <c r="F2" s="16"/>
      <c r="I2" s="16"/>
      <c r="J2" s="17"/>
    </row>
    <row r="3" spans="1:10" ht="15" customHeight="1" x14ac:dyDescent="0.25">
      <c r="B3" s="91"/>
      <c r="C3" s="91"/>
      <c r="D3" s="91"/>
      <c r="G3" s="18" t="s">
        <v>711</v>
      </c>
      <c r="H3" s="19" t="s">
        <v>712</v>
      </c>
      <c r="I3" s="16"/>
      <c r="J3" s="17"/>
    </row>
    <row r="4" spans="1:10" ht="15" customHeight="1" x14ac:dyDescent="0.25">
      <c r="B4" s="91"/>
      <c r="C4" s="91"/>
      <c r="D4" s="91"/>
      <c r="G4" s="20" t="s">
        <v>713</v>
      </c>
      <c r="H4" s="21"/>
      <c r="I4" s="16"/>
      <c r="J4" s="17"/>
    </row>
    <row r="5" spans="1:10" ht="15" customHeight="1" x14ac:dyDescent="0.25">
      <c r="B5" s="92" t="s">
        <v>714</v>
      </c>
      <c r="C5" s="92"/>
      <c r="D5" s="92"/>
      <c r="G5" s="22" t="s">
        <v>715</v>
      </c>
      <c r="H5" s="23"/>
      <c r="J5" s="17"/>
    </row>
    <row r="6" spans="1:10" ht="15" customHeight="1" x14ac:dyDescent="0.25">
      <c r="B6" s="92"/>
      <c r="C6" s="92"/>
      <c r="D6" s="92"/>
      <c r="G6" s="22" t="s">
        <v>716</v>
      </c>
      <c r="H6" s="23"/>
      <c r="J6" s="17"/>
    </row>
    <row r="7" spans="1:10" x14ac:dyDescent="0.25">
      <c r="B7" s="92"/>
      <c r="C7" s="92"/>
      <c r="D7" s="92"/>
      <c r="G7" s="22" t="s">
        <v>717</v>
      </c>
      <c r="H7" s="23"/>
      <c r="J7" s="17"/>
    </row>
    <row r="8" spans="1:10" ht="6" customHeight="1" x14ac:dyDescent="0.25">
      <c r="A8" s="16"/>
      <c r="B8" s="16"/>
      <c r="C8" s="16"/>
      <c r="D8" s="16"/>
      <c r="E8" s="24"/>
      <c r="F8" s="24"/>
      <c r="J8" s="17"/>
    </row>
    <row r="9" spans="1:10" ht="20.25" customHeight="1" x14ac:dyDescent="0.25">
      <c r="B9" s="25"/>
      <c r="C9" s="25"/>
      <c r="D9" s="26"/>
      <c r="E9" s="93" t="s">
        <v>718</v>
      </c>
      <c r="F9" s="93"/>
      <c r="G9" s="93"/>
      <c r="H9" s="93"/>
      <c r="J9" s="17"/>
    </row>
    <row r="10" spans="1:10" x14ac:dyDescent="0.25">
      <c r="B10" s="27" t="s">
        <v>1</v>
      </c>
      <c r="C10" s="28" t="str">
        <f>clienteID_creador</f>
        <v>No aplica</v>
      </c>
      <c r="D10" s="16"/>
      <c r="E10" s="16"/>
      <c r="F10" s="16"/>
      <c r="G10" s="29" t="s">
        <v>719</v>
      </c>
      <c r="H10" s="30">
        <v>1</v>
      </c>
      <c r="J10" s="17"/>
    </row>
    <row r="11" spans="1:10" x14ac:dyDescent="0.25">
      <c r="B11" s="29" t="s">
        <v>2</v>
      </c>
      <c r="C11" s="31" t="str">
        <f>nombre_creador</f>
        <v>--</v>
      </c>
      <c r="D11" s="16"/>
      <c r="E11" s="16"/>
      <c r="F11" s="16"/>
      <c r="G11" s="32" t="s">
        <v>720</v>
      </c>
      <c r="H11" s="33">
        <f ca="1">TODAY()</f>
        <v>45462</v>
      </c>
      <c r="J11" s="17"/>
    </row>
    <row r="12" spans="1:10" ht="15" customHeight="1" x14ac:dyDescent="0.25">
      <c r="B12" s="34" t="s">
        <v>3</v>
      </c>
      <c r="C12" s="31" t="str">
        <f>telefono_creador</f>
        <v>--</v>
      </c>
      <c r="D12" s="16"/>
      <c r="E12" s="16"/>
      <c r="F12" s="16"/>
      <c r="G12" s="32" t="s">
        <v>721</v>
      </c>
      <c r="H12" s="33">
        <f ca="1">TODAY()</f>
        <v>45462</v>
      </c>
      <c r="J12" s="17"/>
    </row>
    <row r="13" spans="1:10" x14ac:dyDescent="0.25">
      <c r="B13" s="34" t="s">
        <v>4</v>
      </c>
      <c r="C13" s="31" t="str">
        <f>direccion_creador</f>
        <v>--</v>
      </c>
      <c r="D13" s="16"/>
      <c r="E13" s="16"/>
      <c r="F13" s="16"/>
      <c r="G13" s="32" t="s">
        <v>722</v>
      </c>
      <c r="H13" s="35">
        <f ca="1">NOW()</f>
        <v>45462.537897222224</v>
      </c>
      <c r="J13" s="17"/>
    </row>
    <row r="14" spans="1:10" x14ac:dyDescent="0.25">
      <c r="B14" s="36" t="s">
        <v>5</v>
      </c>
      <c r="C14" s="31" t="str">
        <f>ciudad_creador</f>
        <v>--</v>
      </c>
      <c r="D14" s="16"/>
      <c r="E14" s="16"/>
      <c r="F14" s="16"/>
      <c r="G14" s="36" t="s">
        <v>723</v>
      </c>
      <c r="H14" s="37" t="s">
        <v>724</v>
      </c>
      <c r="J14" s="17"/>
    </row>
    <row r="15" spans="1:10" x14ac:dyDescent="0.25">
      <c r="B15" s="29" t="s">
        <v>6</v>
      </c>
      <c r="C15" s="31" t="str">
        <f>email_creador</f>
        <v>--</v>
      </c>
      <c r="D15" s="16"/>
      <c r="E15" s="16"/>
      <c r="F15" s="16"/>
      <c r="G15" s="29" t="s">
        <v>725</v>
      </c>
      <c r="H15" s="38" t="s">
        <v>726</v>
      </c>
      <c r="J15" s="17"/>
    </row>
    <row r="16" spans="1:10" x14ac:dyDescent="0.25">
      <c r="B16" s="39"/>
      <c r="C16" s="40"/>
      <c r="D16" s="41"/>
      <c r="E16" s="41"/>
      <c r="F16" s="41"/>
      <c r="G16" s="42"/>
      <c r="H16" s="42"/>
      <c r="J16" s="17"/>
    </row>
    <row r="17" spans="2:13" ht="16.5" x14ac:dyDescent="0.3">
      <c r="B17" s="68" t="s">
        <v>13</v>
      </c>
      <c r="C17" s="68" t="s">
        <v>14</v>
      </c>
      <c r="D17" s="68" t="s">
        <v>353</v>
      </c>
      <c r="E17" s="69" t="s">
        <v>767</v>
      </c>
      <c r="F17" s="69" t="s">
        <v>768</v>
      </c>
      <c r="G17" s="69" t="s">
        <v>769</v>
      </c>
      <c r="H17" s="69" t="s">
        <v>766</v>
      </c>
      <c r="I17" s="43"/>
      <c r="J17" s="17"/>
    </row>
    <row r="18" spans="2:13" ht="16.5" x14ac:dyDescent="0.3">
      <c r="B18" s="69" t="s">
        <v>671</v>
      </c>
      <c r="C18" s="69" t="s">
        <v>20</v>
      </c>
      <c r="D18" s="69" t="s">
        <v>354</v>
      </c>
      <c r="E18" s="70">
        <v>3</v>
      </c>
      <c r="F18" s="70">
        <v>13000</v>
      </c>
      <c r="G18" s="70">
        <v>0</v>
      </c>
      <c r="H18" s="70">
        <v>39000</v>
      </c>
      <c r="J18" s="17"/>
    </row>
    <row r="19" spans="2:13" ht="16.5" x14ac:dyDescent="0.3">
      <c r="B19" s="69" t="s">
        <v>355</v>
      </c>
      <c r="C19" s="69" t="s">
        <v>23</v>
      </c>
      <c r="D19" s="69" t="s">
        <v>354</v>
      </c>
      <c r="E19" s="70">
        <v>2</v>
      </c>
      <c r="F19" s="70">
        <v>13000</v>
      </c>
      <c r="G19" s="70">
        <v>0</v>
      </c>
      <c r="H19" s="70">
        <v>26000</v>
      </c>
      <c r="J19" s="17"/>
    </row>
    <row r="20" spans="2:13" ht="16.5" x14ac:dyDescent="0.3">
      <c r="B20" s="69" t="s">
        <v>356</v>
      </c>
      <c r="C20" s="69" t="s">
        <v>24</v>
      </c>
      <c r="D20" s="69" t="s">
        <v>354</v>
      </c>
      <c r="E20" s="70">
        <v>2</v>
      </c>
      <c r="F20" s="70">
        <v>13000</v>
      </c>
      <c r="G20" s="70">
        <v>0</v>
      </c>
      <c r="H20" s="70">
        <v>26000</v>
      </c>
      <c r="J20" s="17"/>
    </row>
    <row r="21" spans="2:13" ht="16.5" x14ac:dyDescent="0.3">
      <c r="B21" s="69" t="s">
        <v>424</v>
      </c>
      <c r="C21" s="69" t="s">
        <v>96</v>
      </c>
      <c r="D21" s="69" t="s">
        <v>354</v>
      </c>
      <c r="E21" s="70">
        <v>1</v>
      </c>
      <c r="F21" s="70">
        <v>3500</v>
      </c>
      <c r="G21" s="70">
        <v>0</v>
      </c>
      <c r="H21" s="70">
        <v>3500</v>
      </c>
      <c r="J21" s="17"/>
    </row>
    <row r="22" spans="2:13" ht="16.5" x14ac:dyDescent="0.3">
      <c r="B22" s="69" t="s">
        <v>412</v>
      </c>
      <c r="C22" s="69" t="s">
        <v>82</v>
      </c>
      <c r="D22" s="69" t="s">
        <v>354</v>
      </c>
      <c r="E22" s="70">
        <v>1</v>
      </c>
      <c r="F22" s="70">
        <v>800</v>
      </c>
      <c r="G22" s="70">
        <v>0</v>
      </c>
      <c r="H22" s="70">
        <v>800</v>
      </c>
      <c r="J22" s="17"/>
    </row>
    <row r="23" spans="2:13" ht="16.5" x14ac:dyDescent="0.3">
      <c r="B23" s="69" t="s">
        <v>765</v>
      </c>
      <c r="C23" s="69"/>
      <c r="D23" s="69"/>
      <c r="E23" s="70">
        <v>9</v>
      </c>
      <c r="F23" s="70">
        <v>13000</v>
      </c>
      <c r="G23" s="70">
        <v>0</v>
      </c>
      <c r="H23" s="70">
        <v>95300</v>
      </c>
      <c r="J23" s="17"/>
    </row>
    <row r="24" spans="2:13" x14ac:dyDescent="0.25">
      <c r="J24" s="17"/>
      <c r="M24" s="14" t="s">
        <v>764</v>
      </c>
    </row>
    <row r="25" spans="2:13" x14ac:dyDescent="0.25">
      <c r="B25" s="62"/>
      <c r="C25" s="62"/>
      <c r="D25" s="62"/>
      <c r="E25" s="62"/>
      <c r="F25" s="62"/>
      <c r="G25" s="62"/>
      <c r="H25" s="62"/>
      <c r="J25" s="17"/>
    </row>
    <row r="26" spans="2:13" ht="16.5" x14ac:dyDescent="0.3">
      <c r="B26" s="62"/>
      <c r="C26" s="62"/>
      <c r="D26" s="62"/>
      <c r="E26" s="63"/>
      <c r="F26" s="64"/>
      <c r="G26" s="65"/>
      <c r="H26" s="66"/>
      <c r="J26" s="17"/>
    </row>
    <row r="27" spans="2:13" ht="16.5" x14ac:dyDescent="0.3">
      <c r="B27" s="62"/>
      <c r="C27" s="62"/>
      <c r="D27" s="62"/>
      <c r="E27" s="63"/>
      <c r="F27" s="64"/>
      <c r="G27" s="65"/>
      <c r="H27" s="66"/>
      <c r="I27" s="43"/>
      <c r="J27" s="17"/>
    </row>
    <row r="28" spans="2:13" ht="16.5" x14ac:dyDescent="0.3">
      <c r="B28" s="62"/>
      <c r="C28" s="62"/>
      <c r="D28" s="62"/>
      <c r="E28" s="63"/>
      <c r="F28" s="64"/>
      <c r="G28" s="65"/>
      <c r="H28" s="66"/>
      <c r="I28" s="43"/>
      <c r="J28" s="17"/>
    </row>
    <row r="29" spans="2:13" ht="16.5" x14ac:dyDescent="0.3">
      <c r="B29" s="62"/>
      <c r="C29" s="62"/>
      <c r="D29" s="62"/>
      <c r="E29" s="63"/>
      <c r="F29" s="64"/>
      <c r="G29" s="65"/>
      <c r="H29" s="66"/>
      <c r="I29" s="43"/>
      <c r="J29" s="17"/>
    </row>
    <row r="30" spans="2:13" ht="16.5" x14ac:dyDescent="0.3">
      <c r="B30" s="62"/>
      <c r="C30" s="62"/>
      <c r="D30" s="62"/>
      <c r="E30" s="63"/>
      <c r="F30" s="64"/>
      <c r="G30" s="65"/>
      <c r="H30" s="66"/>
      <c r="I30" s="43"/>
      <c r="J30" s="17"/>
    </row>
    <row r="31" spans="2:13" ht="16.5" x14ac:dyDescent="0.3">
      <c r="B31" s="62"/>
      <c r="C31" s="62"/>
      <c r="D31" s="62"/>
      <c r="E31" s="63"/>
      <c r="F31" s="64"/>
      <c r="G31" s="65"/>
      <c r="H31" s="66"/>
      <c r="I31" s="43"/>
      <c r="J31" s="17"/>
    </row>
    <row r="32" spans="2:13" ht="16.5" x14ac:dyDescent="0.3">
      <c r="B32" s="62"/>
      <c r="C32" s="62"/>
      <c r="D32" s="62"/>
      <c r="E32" s="63"/>
      <c r="F32" s="64"/>
      <c r="G32" s="65"/>
      <c r="H32" s="66"/>
      <c r="I32" s="43"/>
      <c r="J32" s="17"/>
    </row>
    <row r="33" spans="2:13" ht="16.5" x14ac:dyDescent="0.3">
      <c r="B33" s="62"/>
      <c r="C33" s="62"/>
      <c r="D33" s="62"/>
      <c r="E33" s="63"/>
      <c r="F33" s="64"/>
      <c r="G33" s="65"/>
      <c r="H33" s="66"/>
      <c r="I33" s="43"/>
      <c r="J33" s="17"/>
    </row>
    <row r="34" spans="2:13" ht="16.5" x14ac:dyDescent="0.3">
      <c r="B34" s="62"/>
      <c r="C34" s="62"/>
      <c r="D34" s="62"/>
      <c r="E34" s="63"/>
      <c r="F34" s="64"/>
      <c r="G34" s="65"/>
      <c r="H34" s="66"/>
      <c r="I34" s="43"/>
      <c r="J34" s="17"/>
    </row>
    <row r="35" spans="2:13" ht="16.5" x14ac:dyDescent="0.3">
      <c r="B35" s="62"/>
      <c r="C35" s="67"/>
      <c r="D35" s="67"/>
      <c r="E35" s="63"/>
      <c r="F35" s="64"/>
      <c r="G35" s="65"/>
      <c r="H35" s="66"/>
      <c r="I35" s="43"/>
      <c r="J35" s="17"/>
    </row>
    <row r="36" spans="2:13" ht="16.5" x14ac:dyDescent="0.3">
      <c r="B36" s="62"/>
      <c r="C36" s="67"/>
      <c r="D36" s="67"/>
      <c r="E36" s="63"/>
      <c r="F36" s="64"/>
      <c r="G36" s="65"/>
      <c r="H36" s="66"/>
      <c r="I36" s="43"/>
      <c r="J36" s="17"/>
    </row>
    <row r="37" spans="2:13" ht="16.5" x14ac:dyDescent="0.3">
      <c r="B37" s="62"/>
      <c r="C37" s="67"/>
      <c r="D37" s="67"/>
      <c r="E37" s="63"/>
      <c r="F37" s="64"/>
      <c r="G37" s="65"/>
      <c r="H37" s="66"/>
      <c r="I37" s="43"/>
      <c r="J37" s="17"/>
    </row>
    <row r="38" spans="2:13" ht="16.5" x14ac:dyDescent="0.3">
      <c r="B38" s="62"/>
      <c r="C38" s="67"/>
      <c r="D38" s="67"/>
      <c r="E38" s="63"/>
      <c r="F38" s="64"/>
      <c r="G38" s="65"/>
      <c r="H38" s="66"/>
      <c r="I38" s="43"/>
      <c r="J38" s="44"/>
      <c r="K38" s="45"/>
      <c r="L38" s="45"/>
      <c r="M38" s="45"/>
    </row>
    <row r="39" spans="2:13" ht="16.5" x14ac:dyDescent="0.3">
      <c r="B39" s="62"/>
      <c r="C39" s="67"/>
      <c r="D39" s="67"/>
      <c r="E39" s="67"/>
      <c r="F39" s="67"/>
      <c r="G39" s="67"/>
      <c r="H39" s="67"/>
      <c r="I39" s="43"/>
      <c r="J39" s="44"/>
      <c r="K39" s="45"/>
      <c r="L39" s="45"/>
      <c r="M39" s="45"/>
    </row>
    <row r="40" spans="2:13" ht="16.5" x14ac:dyDescent="0.3">
      <c r="I40" s="43"/>
      <c r="J40" s="44"/>
      <c r="K40" s="45"/>
      <c r="L40" s="45"/>
      <c r="M40" s="45"/>
    </row>
    <row r="41" spans="2:13" ht="16.5" customHeight="1" x14ac:dyDescent="0.3">
      <c r="I41" s="43"/>
      <c r="J41" s="44"/>
      <c r="K41" s="45"/>
      <c r="L41" s="45"/>
      <c r="M41" s="45"/>
    </row>
    <row r="42" spans="2:13" ht="16.5" customHeight="1" x14ac:dyDescent="0.3">
      <c r="E42" s="94" t="s">
        <v>729</v>
      </c>
      <c r="F42" s="95"/>
      <c r="G42" s="96"/>
      <c r="H42" s="100">
        <f>SUM(tb_lectura[PRECIO UNITARIO])</f>
        <v>95300</v>
      </c>
      <c r="I42" s="43"/>
      <c r="J42" s="44"/>
      <c r="K42" s="45"/>
      <c r="L42" s="45"/>
    </row>
    <row r="43" spans="2:13" ht="16.5" customHeight="1" x14ac:dyDescent="0.3">
      <c r="E43" s="97"/>
      <c r="F43" s="98"/>
      <c r="G43" s="99"/>
      <c r="H43" s="101"/>
      <c r="I43" s="43"/>
      <c r="J43" s="44"/>
      <c r="K43" s="45"/>
      <c r="L43" s="45"/>
    </row>
    <row r="44" spans="2:13" ht="16.5" x14ac:dyDescent="0.3">
      <c r="E44" s="94" t="s">
        <v>770</v>
      </c>
      <c r="F44" s="95"/>
      <c r="G44" s="96"/>
      <c r="H44" s="100">
        <f>descuento_creador+GETPIVOTDATA("DESCUENTO %  ",$B$17)</f>
        <v>300</v>
      </c>
      <c r="I44" s="43"/>
      <c r="J44" s="44"/>
      <c r="K44" s="45"/>
      <c r="L44" s="45"/>
    </row>
    <row r="45" spans="2:13" ht="16.5" x14ac:dyDescent="0.3">
      <c r="E45" s="97"/>
      <c r="F45" s="98"/>
      <c r="G45" s="99"/>
      <c r="H45" s="101"/>
      <c r="I45" s="43"/>
      <c r="J45" s="44"/>
      <c r="K45" s="45"/>
      <c r="L45" s="45"/>
    </row>
    <row r="46" spans="2:13" ht="16.5" x14ac:dyDescent="0.3">
      <c r="E46" s="76" t="s">
        <v>730</v>
      </c>
      <c r="F46" s="77"/>
      <c r="G46" s="78"/>
      <c r="H46" s="82">
        <f>GETPIVOTDATA("TOTAL ",$B$17)-F_iva</f>
        <v>95000</v>
      </c>
      <c r="I46" s="43"/>
      <c r="J46" s="44"/>
      <c r="K46" s="45"/>
      <c r="L46" s="45"/>
    </row>
    <row r="47" spans="2:13" ht="16.5" x14ac:dyDescent="0.3">
      <c r="E47" s="79"/>
      <c r="F47" s="80"/>
      <c r="G47" s="81"/>
      <c r="H47" s="83"/>
      <c r="I47" s="43"/>
      <c r="J47" s="44"/>
      <c r="K47" s="45"/>
      <c r="L47" s="45"/>
    </row>
    <row r="48" spans="2:13" ht="16.5" x14ac:dyDescent="0.3">
      <c r="I48" s="43"/>
      <c r="J48" s="17"/>
    </row>
    <row r="49" spans="2:10" ht="16.5" x14ac:dyDescent="0.3">
      <c r="I49" s="43"/>
      <c r="J49" s="17"/>
    </row>
    <row r="50" spans="2:10" ht="16.5" x14ac:dyDescent="0.3">
      <c r="I50" s="43"/>
      <c r="J50" s="17"/>
    </row>
    <row r="51" spans="2:10" ht="16.5" customHeight="1" x14ac:dyDescent="0.3">
      <c r="I51" s="43"/>
      <c r="J51" s="17"/>
    </row>
    <row r="52" spans="2:10" ht="15" customHeight="1" x14ac:dyDescent="0.3">
      <c r="B52" s="84" t="s">
        <v>731</v>
      </c>
      <c r="C52" s="46" t="s">
        <v>732</v>
      </c>
      <c r="J52" s="17"/>
    </row>
    <row r="53" spans="2:10" ht="15.75" x14ac:dyDescent="0.25">
      <c r="B53" s="84"/>
      <c r="C53" s="47" t="s">
        <v>733</v>
      </c>
      <c r="J53" s="17"/>
    </row>
    <row r="54" spans="2:10" x14ac:dyDescent="0.25">
      <c r="J54" s="17"/>
    </row>
    <row r="55" spans="2:10" x14ac:dyDescent="0.25">
      <c r="J55" s="17"/>
    </row>
    <row r="56" spans="2:10" x14ac:dyDescent="0.25">
      <c r="J56" s="17"/>
    </row>
    <row r="57" spans="2:10" ht="18.75" x14ac:dyDescent="0.25">
      <c r="B57" s="85" t="s">
        <v>734</v>
      </c>
      <c r="C57" s="86"/>
      <c r="D57" s="86"/>
      <c r="E57" s="86"/>
      <c r="F57" s="86"/>
      <c r="G57" s="86"/>
      <c r="H57" s="87"/>
      <c r="J57" s="17"/>
    </row>
    <row r="58" spans="2:10" x14ac:dyDescent="0.25">
      <c r="B58" s="88"/>
      <c r="C58" s="89"/>
      <c r="D58" s="89"/>
      <c r="E58" s="89"/>
      <c r="F58" s="89"/>
      <c r="G58" s="89"/>
      <c r="H58" s="90"/>
      <c r="J58" s="17"/>
    </row>
    <row r="59" spans="2:10" x14ac:dyDescent="0.25">
      <c r="J59" s="17"/>
    </row>
    <row r="60" spans="2:10" x14ac:dyDescent="0.25">
      <c r="J60" s="17"/>
    </row>
    <row r="61" spans="2:10" x14ac:dyDescent="0.25">
      <c r="J61" s="17"/>
    </row>
    <row r="62" spans="2:10" x14ac:dyDescent="0.25">
      <c r="J62" s="17"/>
    </row>
    <row r="63" spans="2:10" x14ac:dyDescent="0.25">
      <c r="J63" s="17"/>
    </row>
  </sheetData>
  <mergeCells count="11">
    <mergeCell ref="E46:G47"/>
    <mergeCell ref="H46:H47"/>
    <mergeCell ref="B52:B53"/>
    <mergeCell ref="B57:H58"/>
    <mergeCell ref="B2:D4"/>
    <mergeCell ref="B5:D7"/>
    <mergeCell ref="E9:H9"/>
    <mergeCell ref="E42:G43"/>
    <mergeCell ref="H42:H43"/>
    <mergeCell ref="E44:G45"/>
    <mergeCell ref="H44:H45"/>
  </mergeCells>
  <conditionalFormatting sqref="C10">
    <cfRule type="cellIs" dxfId="0" priority="1" operator="equal">
      <formula>""</formula>
    </cfRule>
  </conditionalFormatting>
  <dataValidations count="2">
    <dataValidation type="list" allowBlank="1" showInputMessage="1" showErrorMessage="1" sqref="H15" xr:uid="{DAD70110-BF66-4F13-B164-5711F421B2EB}">
      <formula1>medios_pago</formula1>
    </dataValidation>
    <dataValidation type="list" allowBlank="1" showInputMessage="1" showErrorMessage="1" sqref="H14" xr:uid="{C1027047-5085-413E-AD8E-59A56C3709DD}">
      <formula1>formas_pago</formula1>
    </dataValidation>
  </dataValidations>
  <pageMargins left="0.25" right="0.25" top="0.5" bottom="0.5" header="0" footer="0"/>
  <pageSetup scale="70" fitToHeight="0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044C1-C9EC-45F3-AC84-B41D9CB5F5FC}">
  <sheetPr codeName="Sheet10">
    <pageSetUpPr fitToPage="1"/>
  </sheetPr>
  <dimension ref="B2:K117"/>
  <sheetViews>
    <sheetView showGridLines="0" tabSelected="1" zoomScale="130" zoomScaleNormal="130" workbookViewId="0">
      <selection activeCell="H30" sqref="H30"/>
    </sheetView>
  </sheetViews>
  <sheetFormatPr defaultRowHeight="15" x14ac:dyDescent="0.25"/>
  <cols>
    <col min="2" max="2" width="14.7109375" customWidth="1"/>
    <col min="3" max="3" width="8.28515625" customWidth="1"/>
    <col min="4" max="4" width="1.28515625" customWidth="1"/>
    <col min="5" max="5" width="8.5703125" customWidth="1"/>
    <col min="6" max="6" width="0.85546875" customWidth="1"/>
    <col min="7" max="7" width="12.7109375" customWidth="1"/>
    <col min="8" max="8" width="21.42578125" bestFit="1" customWidth="1"/>
    <col min="10" max="10" width="21.28515625" bestFit="1" customWidth="1"/>
  </cols>
  <sheetData>
    <row r="2" spans="2:7" ht="18" customHeight="1" x14ac:dyDescent="0.25"/>
    <row r="3" spans="2:7" ht="16.5" customHeight="1" x14ac:dyDescent="0.25">
      <c r="B3" s="103" t="s">
        <v>735</v>
      </c>
      <c r="C3" s="103"/>
      <c r="D3" s="103"/>
      <c r="E3" s="103"/>
      <c r="F3" s="103"/>
      <c r="G3" s="103"/>
    </row>
    <row r="4" spans="2:7" ht="15" customHeight="1" x14ac:dyDescent="0.25">
      <c r="B4" s="104" t="s">
        <v>736</v>
      </c>
      <c r="C4" s="104"/>
      <c r="D4" s="104"/>
      <c r="E4" s="104"/>
      <c r="F4" s="104"/>
      <c r="G4" s="104"/>
    </row>
    <row r="5" spans="2:7" ht="15" customHeight="1" x14ac:dyDescent="0.25">
      <c r="B5" s="104"/>
      <c r="C5" s="104"/>
      <c r="D5" s="104"/>
      <c r="E5" s="104"/>
      <c r="F5" s="104"/>
      <c r="G5" s="104"/>
    </row>
    <row r="6" spans="2:7" ht="15" customHeight="1" x14ac:dyDescent="0.25">
      <c r="B6" s="105" t="s">
        <v>714</v>
      </c>
      <c r="C6" s="105"/>
      <c r="D6" s="105"/>
      <c r="E6" s="105"/>
      <c r="F6" s="105"/>
      <c r="G6" s="105"/>
    </row>
    <row r="7" spans="2:7" ht="15" customHeight="1" x14ac:dyDescent="0.25">
      <c r="B7" s="105"/>
      <c r="C7" s="105"/>
      <c r="D7" s="105"/>
      <c r="E7" s="105"/>
      <c r="F7" s="105"/>
      <c r="G7" s="105"/>
    </row>
    <row r="8" spans="2:7" ht="15" customHeight="1" x14ac:dyDescent="0.25">
      <c r="B8" s="105"/>
      <c r="C8" s="105"/>
      <c r="D8" s="105"/>
      <c r="E8" s="105"/>
      <c r="F8" s="105"/>
      <c r="G8" s="105"/>
    </row>
    <row r="9" spans="2:7" ht="15" customHeight="1" x14ac:dyDescent="0.25">
      <c r="B9" s="105"/>
      <c r="C9" s="105"/>
      <c r="D9" s="105"/>
      <c r="E9" s="105"/>
      <c r="F9" s="105"/>
      <c r="G9" s="105"/>
    </row>
    <row r="10" spans="2:7" x14ac:dyDescent="0.25">
      <c r="B10" s="106" t="s">
        <v>735</v>
      </c>
      <c r="C10" s="106"/>
      <c r="D10" s="106"/>
      <c r="E10" s="106"/>
      <c r="F10" s="106"/>
      <c r="G10" s="106"/>
    </row>
    <row r="11" spans="2:7" ht="15.75" x14ac:dyDescent="0.25">
      <c r="B11" s="107" t="s">
        <v>737</v>
      </c>
      <c r="C11" s="107"/>
      <c r="D11" s="107"/>
      <c r="E11" s="107"/>
      <c r="F11" s="107"/>
      <c r="G11" s="107"/>
    </row>
    <row r="12" spans="2:7" ht="15" customHeight="1" x14ac:dyDescent="0.3">
      <c r="B12" s="102" t="s">
        <v>715</v>
      </c>
      <c r="C12" s="102"/>
      <c r="D12" s="102"/>
      <c r="E12" s="102"/>
      <c r="F12" s="102"/>
      <c r="G12" s="102"/>
    </row>
    <row r="13" spans="2:7" ht="15" customHeight="1" x14ac:dyDescent="0.3">
      <c r="B13" s="102" t="s">
        <v>738</v>
      </c>
      <c r="C13" s="102"/>
      <c r="D13" s="102"/>
      <c r="E13" s="102"/>
      <c r="F13" s="102"/>
      <c r="G13" s="102"/>
    </row>
    <row r="14" spans="2:7" ht="16.5" x14ac:dyDescent="0.3">
      <c r="B14" s="102" t="s">
        <v>739</v>
      </c>
      <c r="C14" s="102"/>
      <c r="D14" s="102"/>
      <c r="E14" s="102"/>
      <c r="F14" s="102"/>
      <c r="G14" s="102"/>
    </row>
    <row r="15" spans="2:7" x14ac:dyDescent="0.25">
      <c r="B15" s="106" t="s">
        <v>735</v>
      </c>
      <c r="C15" s="106"/>
      <c r="D15" s="106"/>
      <c r="E15" s="106"/>
      <c r="F15" s="106"/>
      <c r="G15" s="106"/>
    </row>
    <row r="16" spans="2:7" ht="19.5" x14ac:dyDescent="0.35">
      <c r="B16" s="109" t="s">
        <v>779</v>
      </c>
      <c r="C16" s="109"/>
      <c r="D16" s="109"/>
      <c r="E16" s="109"/>
      <c r="F16" s="109"/>
      <c r="G16" s="109"/>
    </row>
    <row r="17" spans="2:10" ht="15" customHeight="1" x14ac:dyDescent="0.25">
      <c r="B17" s="110"/>
      <c r="C17" s="110"/>
      <c r="D17" s="110"/>
      <c r="E17" s="110"/>
      <c r="F17" s="110"/>
      <c r="G17" s="110"/>
    </row>
    <row r="18" spans="2:10" ht="15.75" x14ac:dyDescent="0.3">
      <c r="B18" s="48" t="s">
        <v>740</v>
      </c>
      <c r="C18" s="111">
        <v>45462</v>
      </c>
      <c r="D18" s="111"/>
      <c r="E18" s="111"/>
      <c r="F18" s="111"/>
      <c r="G18" s="111"/>
    </row>
    <row r="19" spans="2:10" ht="15.75" x14ac:dyDescent="0.3">
      <c r="B19" s="48" t="s">
        <v>741</v>
      </c>
      <c r="C19" s="112">
        <v>45462.537897106478</v>
      </c>
      <c r="D19" s="112"/>
      <c r="E19" s="112"/>
      <c r="F19" s="112"/>
      <c r="G19" s="112"/>
    </row>
    <row r="20" spans="2:10" ht="15.75" x14ac:dyDescent="0.3">
      <c r="B20" s="48" t="s">
        <v>742</v>
      </c>
      <c r="C20" s="111">
        <v>45462</v>
      </c>
      <c r="D20" s="111"/>
      <c r="E20" s="111"/>
      <c r="F20" s="111"/>
      <c r="G20" s="111"/>
    </row>
    <row r="21" spans="2:10" x14ac:dyDescent="0.25">
      <c r="B21" s="113" t="s">
        <v>743</v>
      </c>
      <c r="C21" s="113"/>
      <c r="D21" s="113"/>
      <c r="E21" s="113"/>
      <c r="F21" s="113"/>
      <c r="G21" s="113"/>
      <c r="H21" s="16"/>
      <c r="I21" s="38"/>
      <c r="J21" s="49"/>
    </row>
    <row r="22" spans="2:10" ht="15.75" x14ac:dyDescent="0.3">
      <c r="B22" s="48" t="s">
        <v>744</v>
      </c>
      <c r="C22" s="108" t="s">
        <v>675</v>
      </c>
      <c r="D22" s="108"/>
      <c r="E22" s="108"/>
      <c r="F22" s="108"/>
      <c r="G22" s="108"/>
      <c r="H22" s="16"/>
      <c r="I22" s="38"/>
      <c r="J22" s="49"/>
    </row>
    <row r="23" spans="2:10" ht="15.75" x14ac:dyDescent="0.3">
      <c r="B23" s="48" t="s">
        <v>745</v>
      </c>
      <c r="C23" s="108" t="s">
        <v>676</v>
      </c>
      <c r="D23" s="108"/>
      <c r="E23" s="108"/>
      <c r="F23" s="108"/>
      <c r="G23" s="108"/>
      <c r="H23" s="16"/>
      <c r="I23" s="38"/>
      <c r="J23" s="49"/>
    </row>
    <row r="24" spans="2:10" ht="15.75" x14ac:dyDescent="0.3">
      <c r="B24" s="48" t="s">
        <v>746</v>
      </c>
      <c r="C24" s="108" t="s">
        <v>675</v>
      </c>
      <c r="D24" s="108"/>
      <c r="E24" s="108"/>
      <c r="F24" s="108"/>
      <c r="G24" s="108"/>
      <c r="H24" s="16"/>
      <c r="I24" s="38"/>
      <c r="J24" s="49"/>
    </row>
    <row r="25" spans="2:10" ht="15.75" x14ac:dyDescent="0.3">
      <c r="B25" s="48" t="s">
        <v>747</v>
      </c>
      <c r="C25" s="108" t="s">
        <v>675</v>
      </c>
      <c r="D25" s="108"/>
      <c r="E25" s="108"/>
      <c r="F25" s="108"/>
      <c r="G25" s="108"/>
    </row>
    <row r="26" spans="2:10" ht="15.75" x14ac:dyDescent="0.3">
      <c r="B26" s="48" t="s">
        <v>748</v>
      </c>
      <c r="C26" s="108" t="s">
        <v>724</v>
      </c>
      <c r="D26" s="108"/>
      <c r="E26" s="108"/>
      <c r="F26" s="108"/>
      <c r="G26" s="108"/>
    </row>
    <row r="27" spans="2:10" ht="15.75" x14ac:dyDescent="0.3">
      <c r="B27" s="48" t="s">
        <v>749</v>
      </c>
      <c r="C27" s="108" t="s">
        <v>726</v>
      </c>
      <c r="D27" s="108"/>
      <c r="E27" s="108"/>
      <c r="F27" s="108"/>
      <c r="G27" s="108"/>
      <c r="H27" s="16"/>
      <c r="J27" s="49"/>
    </row>
    <row r="28" spans="2:10" x14ac:dyDescent="0.25">
      <c r="B28" s="50"/>
      <c r="C28" s="51"/>
      <c r="D28" s="51"/>
      <c r="E28" s="51"/>
      <c r="F28" s="51"/>
      <c r="G28" s="52"/>
    </row>
    <row r="29" spans="2:10" ht="16.5" thickBot="1" x14ac:dyDescent="0.3">
      <c r="B29" s="53" t="s">
        <v>750</v>
      </c>
      <c r="C29" s="53"/>
      <c r="D29" s="53"/>
      <c r="E29" s="115" t="s">
        <v>751</v>
      </c>
      <c r="F29" s="115"/>
      <c r="G29" s="115"/>
    </row>
    <row r="30" spans="2:10" ht="6" customHeight="1" x14ac:dyDescent="0.3">
      <c r="B30" s="121"/>
      <c r="C30" s="121"/>
      <c r="D30" s="121"/>
      <c r="E30" s="122"/>
      <c r="F30" s="122"/>
      <c r="G30" s="122"/>
      <c r="H30" s="120"/>
      <c r="I30" s="120"/>
    </row>
    <row r="31" spans="2:10" ht="20.25" customHeight="1" x14ac:dyDescent="0.25">
      <c r="B31" s="126"/>
      <c r="C31" s="126"/>
      <c r="D31" s="126"/>
      <c r="E31" s="126"/>
      <c r="F31" s="126"/>
      <c r="G31" s="126"/>
    </row>
    <row r="32" spans="2:10" ht="32.25" customHeight="1" x14ac:dyDescent="0.25">
      <c r="B32" s="127" t="s">
        <v>780</v>
      </c>
      <c r="C32" s="127"/>
      <c r="D32" s="127"/>
      <c r="E32" s="127"/>
      <c r="F32" s="127"/>
      <c r="G32" s="127"/>
    </row>
    <row r="33" spans="2:7" ht="20.25" customHeight="1" x14ac:dyDescent="0.25">
      <c r="B33" s="126"/>
      <c r="C33" s="126"/>
      <c r="D33" s="126"/>
      <c r="E33" s="128">
        <v>39000</v>
      </c>
      <c r="F33" s="129"/>
      <c r="G33" s="129"/>
    </row>
    <row r="34" spans="2:7" ht="15" customHeight="1" x14ac:dyDescent="0.25">
      <c r="B34" s="126"/>
      <c r="C34" s="126"/>
      <c r="D34" s="126"/>
      <c r="E34" s="130"/>
      <c r="F34" s="131"/>
      <c r="G34" s="131"/>
    </row>
    <row r="35" spans="2:7" ht="32.25" customHeight="1" x14ac:dyDescent="0.25">
      <c r="B35" s="127" t="s">
        <v>781</v>
      </c>
      <c r="C35" s="127"/>
      <c r="D35" s="127"/>
      <c r="E35" s="127"/>
      <c r="F35" s="127"/>
      <c r="G35" s="127"/>
    </row>
    <row r="36" spans="2:7" ht="20.25" customHeight="1" x14ac:dyDescent="0.25">
      <c r="B36" s="126"/>
      <c r="C36" s="126"/>
      <c r="D36" s="126"/>
      <c r="E36" s="128">
        <v>26000</v>
      </c>
      <c r="F36" s="129"/>
      <c r="G36" s="129"/>
    </row>
    <row r="37" spans="2:7" ht="15" customHeight="1" x14ac:dyDescent="0.25">
      <c r="B37" s="126"/>
      <c r="C37" s="126"/>
      <c r="D37" s="126"/>
      <c r="E37" s="130"/>
      <c r="F37" s="131"/>
      <c r="G37" s="131"/>
    </row>
    <row r="38" spans="2:7" ht="32.25" customHeight="1" x14ac:dyDescent="0.25">
      <c r="B38" s="127" t="s">
        <v>782</v>
      </c>
      <c r="C38" s="127"/>
      <c r="D38" s="127"/>
      <c r="E38" s="127"/>
      <c r="F38" s="127"/>
      <c r="G38" s="127"/>
    </row>
    <row r="39" spans="2:7" ht="20.25" customHeight="1" x14ac:dyDescent="0.25">
      <c r="B39" s="126"/>
      <c r="C39" s="126"/>
      <c r="D39" s="126"/>
      <c r="E39" s="128">
        <v>26000</v>
      </c>
      <c r="F39" s="129"/>
      <c r="G39" s="129"/>
    </row>
    <row r="40" spans="2:7" ht="15" customHeight="1" x14ac:dyDescent="0.25">
      <c r="B40" s="126"/>
      <c r="C40" s="126"/>
      <c r="D40" s="126"/>
      <c r="E40" s="130"/>
      <c r="F40" s="131"/>
      <c r="G40" s="131"/>
    </row>
    <row r="41" spans="2:7" ht="32.25" customHeight="1" x14ac:dyDescent="0.25">
      <c r="B41" s="127" t="s">
        <v>783</v>
      </c>
      <c r="C41" s="127"/>
      <c r="D41" s="127"/>
      <c r="E41" s="127"/>
      <c r="F41" s="127"/>
      <c r="G41" s="127"/>
    </row>
    <row r="42" spans="2:7" ht="20.25" customHeight="1" x14ac:dyDescent="0.25">
      <c r="B42" s="126"/>
      <c r="C42" s="126"/>
      <c r="D42" s="126"/>
      <c r="E42" s="128">
        <v>3500</v>
      </c>
      <c r="F42" s="129"/>
      <c r="G42" s="129"/>
    </row>
    <row r="43" spans="2:7" ht="15" customHeight="1" x14ac:dyDescent="0.25">
      <c r="B43" s="126"/>
      <c r="C43" s="126"/>
      <c r="D43" s="126"/>
      <c r="E43" s="130"/>
      <c r="F43" s="131"/>
      <c r="G43" s="131"/>
    </row>
    <row r="44" spans="2:7" ht="32.25" customHeight="1" x14ac:dyDescent="0.25">
      <c r="B44" s="127" t="s">
        <v>784</v>
      </c>
      <c r="C44" s="127"/>
      <c r="D44" s="127"/>
      <c r="E44" s="127"/>
      <c r="F44" s="127"/>
      <c r="G44" s="127"/>
    </row>
    <row r="45" spans="2:7" ht="20.25" customHeight="1" x14ac:dyDescent="0.25">
      <c r="B45" s="126"/>
      <c r="C45" s="126"/>
      <c r="D45" s="126"/>
      <c r="E45" s="128">
        <v>800</v>
      </c>
      <c r="F45" s="129"/>
      <c r="G45" s="129"/>
    </row>
    <row r="46" spans="2:7" ht="15" customHeight="1" x14ac:dyDescent="0.25">
      <c r="B46" s="126"/>
      <c r="C46" s="126"/>
      <c r="D46" s="126"/>
      <c r="E46" s="130"/>
      <c r="F46" s="131"/>
      <c r="G46" s="131"/>
    </row>
    <row r="47" spans="2:7" ht="20.25" customHeight="1" x14ac:dyDescent="0.25">
      <c r="B47" s="110" t="str">
        <f>_xlfn.CONCAT("SON ", "CUARENTA Y CINCO MIL OCHO CIENTOS", " PESOS" )</f>
        <v>SON CUARENTA Y CINCO MIL OCHO CIENTOS PESOS</v>
      </c>
      <c r="C47" s="110"/>
      <c r="D47" s="110"/>
      <c r="E47" s="110"/>
      <c r="F47" s="110"/>
      <c r="G47" s="110"/>
    </row>
    <row r="48" spans="2:7" ht="20.25" customHeight="1" x14ac:dyDescent="0.25">
      <c r="B48" s="110"/>
      <c r="C48" s="110"/>
      <c r="D48" s="110"/>
      <c r="E48" s="110"/>
      <c r="F48" s="110"/>
      <c r="G48" s="110"/>
    </row>
    <row r="49" spans="2:7" ht="13.5" customHeight="1" x14ac:dyDescent="0.25">
      <c r="B49" s="119"/>
      <c r="C49" s="119"/>
      <c r="D49" s="119"/>
      <c r="F49" s="119"/>
      <c r="G49" s="119"/>
    </row>
    <row r="50" spans="2:7" ht="20.25" customHeight="1" x14ac:dyDescent="0.35">
      <c r="B50" s="114" t="s">
        <v>729</v>
      </c>
      <c r="C50" s="114"/>
      <c r="D50" s="61"/>
      <c r="E50" s="118">
        <v>95300</v>
      </c>
      <c r="F50" s="118"/>
      <c r="G50" s="118"/>
    </row>
    <row r="51" spans="2:7" ht="18.75" customHeight="1" x14ac:dyDescent="0.35">
      <c r="B51" s="114" t="s">
        <v>770</v>
      </c>
      <c r="C51" s="114"/>
      <c r="D51" s="54"/>
      <c r="E51" s="118">
        <v>300</v>
      </c>
      <c r="F51" s="118"/>
      <c r="G51" s="118"/>
    </row>
    <row r="52" spans="2:7" s="125" customFormat="1" ht="19.5" x14ac:dyDescent="0.35">
      <c r="B52" s="123" t="s">
        <v>752</v>
      </c>
      <c r="C52" s="123"/>
      <c r="D52" s="124"/>
      <c r="E52" s="118"/>
      <c r="F52" s="118"/>
      <c r="G52" s="118"/>
    </row>
    <row r="53" spans="2:7" ht="19.5" x14ac:dyDescent="0.35">
      <c r="B53" s="114" t="s">
        <v>753</v>
      </c>
      <c r="C53" s="114"/>
      <c r="D53" s="54"/>
      <c r="E53" s="118">
        <v>0</v>
      </c>
      <c r="F53" s="118"/>
      <c r="G53" s="118"/>
    </row>
    <row r="54" spans="2:7" ht="19.5" x14ac:dyDescent="0.35">
      <c r="B54" s="114" t="s">
        <v>754</v>
      </c>
      <c r="C54" s="114"/>
      <c r="D54" s="54"/>
      <c r="E54" s="118">
        <v>95000</v>
      </c>
      <c r="F54" s="118"/>
      <c r="G54" s="118"/>
    </row>
    <row r="55" spans="2:7" ht="15.75" x14ac:dyDescent="0.3">
      <c r="B55" s="50"/>
      <c r="C55" s="55"/>
      <c r="D55" s="55"/>
      <c r="E55" s="55"/>
      <c r="F55" s="55"/>
      <c r="G55" s="56"/>
    </row>
    <row r="56" spans="2:7" x14ac:dyDescent="0.25">
      <c r="B56" s="50"/>
      <c r="C56" s="51"/>
      <c r="D56" s="51"/>
      <c r="E56" s="51"/>
      <c r="F56" s="51"/>
      <c r="G56" s="52"/>
    </row>
    <row r="57" spans="2:7" x14ac:dyDescent="0.25">
      <c r="B57" s="113" t="s">
        <v>743</v>
      </c>
      <c r="C57" s="113"/>
      <c r="D57" s="113"/>
      <c r="E57" s="113"/>
      <c r="F57" s="113"/>
      <c r="G57" s="113"/>
    </row>
    <row r="58" spans="2:7" x14ac:dyDescent="0.25">
      <c r="B58" s="116" t="s">
        <v>755</v>
      </c>
      <c r="C58" s="116"/>
      <c r="D58" s="116"/>
      <c r="E58" s="116"/>
      <c r="F58" s="116"/>
      <c r="G58" s="116"/>
    </row>
    <row r="59" spans="2:7" x14ac:dyDescent="0.25">
      <c r="B59" s="116"/>
      <c r="C59" s="116"/>
      <c r="D59" s="116"/>
      <c r="E59" s="116"/>
      <c r="F59" s="116"/>
      <c r="G59" s="116"/>
    </row>
    <row r="60" spans="2:7" x14ac:dyDescent="0.25">
      <c r="B60" s="113" t="s">
        <v>743</v>
      </c>
      <c r="C60" s="117"/>
      <c r="D60" s="117"/>
      <c r="E60" s="117"/>
      <c r="F60" s="117"/>
      <c r="G60" s="117"/>
    </row>
    <row r="61" spans="2:7" x14ac:dyDescent="0.25">
      <c r="B61" s="57"/>
      <c r="C61" s="58"/>
      <c r="D61" s="58"/>
      <c r="E61" s="58"/>
      <c r="F61" s="58"/>
      <c r="G61" s="58"/>
    </row>
    <row r="62" spans="2:7" x14ac:dyDescent="0.25">
      <c r="B62" s="106" t="s">
        <v>735</v>
      </c>
      <c r="C62" s="106"/>
      <c r="D62" s="106"/>
      <c r="E62" s="106"/>
      <c r="F62" s="106"/>
      <c r="G62" s="106"/>
    </row>
    <row r="63" spans="2:7" x14ac:dyDescent="0.25">
      <c r="B63" s="59"/>
      <c r="C63" s="60"/>
      <c r="D63" s="60"/>
      <c r="E63" s="60"/>
      <c r="F63" s="60"/>
      <c r="G63" s="60"/>
    </row>
    <row r="64" spans="2:7" x14ac:dyDescent="0.25">
      <c r="B64" s="59"/>
      <c r="C64" s="60"/>
      <c r="D64" s="60"/>
      <c r="E64" s="60"/>
      <c r="F64" s="60"/>
      <c r="G64" s="60"/>
    </row>
    <row r="66" spans="11:11" ht="16.5" x14ac:dyDescent="0.3">
      <c r="K66" s="43"/>
    </row>
    <row r="67" spans="11:11" ht="16.5" x14ac:dyDescent="0.3">
      <c r="K67" s="43"/>
    </row>
    <row r="68" spans="11:11" ht="16.5" x14ac:dyDescent="0.3">
      <c r="K68" s="43"/>
    </row>
    <row r="69" spans="11:11" ht="16.5" x14ac:dyDescent="0.3">
      <c r="K69" s="43"/>
    </row>
    <row r="70" spans="11:11" ht="16.5" x14ac:dyDescent="0.3">
      <c r="K70" s="43"/>
    </row>
    <row r="71" spans="11:11" ht="16.5" x14ac:dyDescent="0.3">
      <c r="K71" s="43"/>
    </row>
    <row r="72" spans="11:11" ht="16.5" x14ac:dyDescent="0.3">
      <c r="K72" s="43"/>
    </row>
    <row r="73" spans="11:11" ht="16.5" x14ac:dyDescent="0.3">
      <c r="K73" s="43"/>
    </row>
    <row r="74" spans="11:11" ht="16.5" x14ac:dyDescent="0.3">
      <c r="K74" s="43"/>
    </row>
    <row r="75" spans="11:11" ht="16.5" x14ac:dyDescent="0.3">
      <c r="K75" s="43"/>
    </row>
    <row r="76" spans="11:11" ht="16.5" x14ac:dyDescent="0.3">
      <c r="K76" s="43"/>
    </row>
    <row r="77" spans="11:11" ht="16.5" x14ac:dyDescent="0.3">
      <c r="K77" s="43"/>
    </row>
    <row r="78" spans="11:11" ht="16.5" x14ac:dyDescent="0.3">
      <c r="K78" s="43"/>
    </row>
    <row r="79" spans="11:11" ht="16.5" x14ac:dyDescent="0.3">
      <c r="K79" s="43"/>
    </row>
    <row r="80" spans="11:11" ht="16.5" x14ac:dyDescent="0.3">
      <c r="K80" s="43"/>
    </row>
    <row r="81" spans="11:11" ht="16.5" x14ac:dyDescent="0.3">
      <c r="K81" s="43"/>
    </row>
    <row r="82" spans="11:11" ht="16.5" x14ac:dyDescent="0.3">
      <c r="K82" s="43"/>
    </row>
    <row r="83" spans="11:11" ht="16.5" x14ac:dyDescent="0.3">
      <c r="K83" s="43"/>
    </row>
    <row r="84" spans="11:11" ht="16.5" x14ac:dyDescent="0.3">
      <c r="K84" s="43"/>
    </row>
    <row r="85" spans="11:11" ht="16.5" x14ac:dyDescent="0.3">
      <c r="K85" s="43"/>
    </row>
    <row r="86" spans="11:11" ht="16.5" x14ac:dyDescent="0.3">
      <c r="K86" s="43"/>
    </row>
    <row r="87" spans="11:11" ht="16.5" x14ac:dyDescent="0.3">
      <c r="K87" s="43"/>
    </row>
    <row r="88" spans="11:11" ht="16.5" x14ac:dyDescent="0.3">
      <c r="K88" s="43"/>
    </row>
    <row r="89" spans="11:11" ht="16.5" x14ac:dyDescent="0.3">
      <c r="K89" s="43"/>
    </row>
    <row r="90" spans="11:11" ht="16.5" x14ac:dyDescent="0.3">
      <c r="K90" s="43"/>
    </row>
    <row r="91" spans="11:11" ht="16.5" x14ac:dyDescent="0.3">
      <c r="K91" s="43"/>
    </row>
    <row r="92" spans="11:11" ht="16.5" x14ac:dyDescent="0.3">
      <c r="K92" s="43"/>
    </row>
    <row r="93" spans="11:11" ht="16.5" x14ac:dyDescent="0.3">
      <c r="K93" s="43"/>
    </row>
    <row r="94" spans="11:11" ht="16.5" x14ac:dyDescent="0.3">
      <c r="K94" s="43"/>
    </row>
    <row r="95" spans="11:11" ht="16.5" x14ac:dyDescent="0.3">
      <c r="K95" s="43"/>
    </row>
    <row r="96" spans="11:11" ht="16.5" x14ac:dyDescent="0.3">
      <c r="K96" s="43"/>
    </row>
    <row r="97" spans="11:11" ht="16.5" x14ac:dyDescent="0.3">
      <c r="K97" s="43"/>
    </row>
    <row r="98" spans="11:11" ht="16.5" x14ac:dyDescent="0.3">
      <c r="K98" s="43"/>
    </row>
    <row r="99" spans="11:11" ht="16.5" x14ac:dyDescent="0.3">
      <c r="K99" s="43"/>
    </row>
    <row r="100" spans="11:11" ht="16.5" x14ac:dyDescent="0.3">
      <c r="K100" s="43"/>
    </row>
    <row r="101" spans="11:11" ht="16.5" x14ac:dyDescent="0.3">
      <c r="K101" s="43"/>
    </row>
    <row r="102" spans="11:11" ht="16.5" x14ac:dyDescent="0.3">
      <c r="K102" s="43"/>
    </row>
    <row r="103" spans="11:11" ht="15.75" customHeight="1" x14ac:dyDescent="0.25"/>
    <row r="117" ht="50.25" customHeight="1" x14ac:dyDescent="0.25"/>
  </sheetData>
  <mergeCells count="48">
    <mergeCell ref="B50:C50"/>
    <mergeCell ref="E50:G50"/>
    <mergeCell ref="B44:G44"/>
    <mergeCell ref="E33:G33"/>
    <mergeCell ref="B41:G41"/>
    <mergeCell ref="E39:G39"/>
    <mergeCell ref="B32:G32"/>
    <mergeCell ref="B47:G48"/>
    <mergeCell ref="B35:G35"/>
    <mergeCell ref="E36:G36"/>
    <mergeCell ref="B38:G38"/>
    <mergeCell ref="E42:G42"/>
    <mergeCell ref="E30:G30"/>
    <mergeCell ref="E45:G45"/>
    <mergeCell ref="B57:G57"/>
    <mergeCell ref="B58:G59"/>
    <mergeCell ref="B60:G60"/>
    <mergeCell ref="B62:G62"/>
    <mergeCell ref="B52:C52"/>
    <mergeCell ref="E52:G52"/>
    <mergeCell ref="B53:C53"/>
    <mergeCell ref="E53:G53"/>
    <mergeCell ref="B54:C54"/>
    <mergeCell ref="E54:G54"/>
    <mergeCell ref="B51:C51"/>
    <mergeCell ref="E51:G51"/>
    <mergeCell ref="C25:G25"/>
    <mergeCell ref="C26:G26"/>
    <mergeCell ref="C27:G27"/>
    <mergeCell ref="E29:G29"/>
    <mergeCell ref="C24:G24"/>
    <mergeCell ref="B13:G13"/>
    <mergeCell ref="B14:G14"/>
    <mergeCell ref="B15:G15"/>
    <mergeCell ref="B16:G16"/>
    <mergeCell ref="B17:G17"/>
    <mergeCell ref="C18:G18"/>
    <mergeCell ref="C19:G19"/>
    <mergeCell ref="C20:G20"/>
    <mergeCell ref="B21:G21"/>
    <mergeCell ref="C22:G22"/>
    <mergeCell ref="C23:G23"/>
    <mergeCell ref="B12:G12"/>
    <mergeCell ref="B3:G3"/>
    <mergeCell ref="B4:G5"/>
    <mergeCell ref="B6:G9"/>
    <mergeCell ref="B10:G10"/>
    <mergeCell ref="B11:G11"/>
  </mergeCells>
  <pageMargins left="0" right="0" top="0" bottom="0" header="0" footer="0"/>
  <pageSetup scale="50" fitToHeight="0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B3EE-22AF-40A8-B06E-EE8778259ADC}">
  <sheetPr codeName="Sheet3"/>
  <dimension ref="A1:H298"/>
  <sheetViews>
    <sheetView topLeftCell="A2" workbookViewId="0">
      <selection activeCell="B37" sqref="B36:B37"/>
    </sheetView>
  </sheetViews>
  <sheetFormatPr defaultRowHeight="15" x14ac:dyDescent="0.25"/>
  <cols>
    <col min="1" max="1" width="15.7109375" bestFit="1" customWidth="1"/>
    <col min="2" max="2" width="46.42578125" bestFit="1" customWidth="1"/>
    <col min="3" max="3" width="22.28515625" bestFit="1" customWidth="1"/>
    <col min="4" max="4" width="14.5703125" bestFit="1" customWidth="1"/>
    <col min="5" max="5" width="10.5703125" bestFit="1" customWidth="1"/>
    <col min="6" max="6" width="22.5703125" bestFit="1" customWidth="1"/>
    <col min="7" max="7" width="16.42578125" bestFit="1" customWidth="1"/>
    <col min="8" max="8" width="12.7109375" bestFit="1" customWidth="1"/>
  </cols>
  <sheetData>
    <row r="1" spans="1:8" x14ac:dyDescent="0.25">
      <c r="A1" t="s">
        <v>352</v>
      </c>
      <c r="B1" t="s">
        <v>14</v>
      </c>
      <c r="C1" t="s">
        <v>666</v>
      </c>
      <c r="D1" t="s">
        <v>353</v>
      </c>
      <c r="E1" t="s">
        <v>16</v>
      </c>
      <c r="F1" t="s">
        <v>17</v>
      </c>
      <c r="G1" t="s">
        <v>18</v>
      </c>
      <c r="H1" t="s">
        <v>19</v>
      </c>
    </row>
    <row r="2" spans="1:8" x14ac:dyDescent="0.25">
      <c r="A2" s="6" t="s">
        <v>671</v>
      </c>
      <c r="B2" t="s">
        <v>20</v>
      </c>
      <c r="C2" t="s">
        <v>21</v>
      </c>
      <c r="D2" t="s">
        <v>354</v>
      </c>
      <c r="E2" t="s">
        <v>22</v>
      </c>
      <c r="F2">
        <v>1</v>
      </c>
      <c r="G2">
        <v>13000</v>
      </c>
      <c r="H2">
        <v>0</v>
      </c>
    </row>
    <row r="3" spans="1:8" x14ac:dyDescent="0.25">
      <c r="A3" s="6" t="s">
        <v>355</v>
      </c>
      <c r="B3" t="s">
        <v>23</v>
      </c>
      <c r="C3" t="s">
        <v>21</v>
      </c>
      <c r="D3" t="s">
        <v>354</v>
      </c>
      <c r="E3" t="s">
        <v>22</v>
      </c>
      <c r="G3">
        <v>13000</v>
      </c>
      <c r="H3">
        <v>0</v>
      </c>
    </row>
    <row r="4" spans="1:8" x14ac:dyDescent="0.25">
      <c r="A4" s="6" t="s">
        <v>356</v>
      </c>
      <c r="B4" t="s">
        <v>24</v>
      </c>
      <c r="C4" t="s">
        <v>21</v>
      </c>
      <c r="D4" t="s">
        <v>354</v>
      </c>
      <c r="E4" t="s">
        <v>22</v>
      </c>
      <c r="G4">
        <v>13000</v>
      </c>
      <c r="H4">
        <v>0</v>
      </c>
    </row>
    <row r="5" spans="1:8" x14ac:dyDescent="0.25">
      <c r="A5" s="6" t="s">
        <v>357</v>
      </c>
      <c r="B5" t="s">
        <v>25</v>
      </c>
      <c r="C5" t="s">
        <v>21</v>
      </c>
      <c r="D5" t="s">
        <v>354</v>
      </c>
      <c r="E5" t="s">
        <v>22</v>
      </c>
      <c r="G5">
        <v>13000</v>
      </c>
      <c r="H5">
        <v>0</v>
      </c>
    </row>
    <row r="6" spans="1:8" x14ac:dyDescent="0.25">
      <c r="A6" s="6" t="s">
        <v>358</v>
      </c>
      <c r="B6" t="s">
        <v>26</v>
      </c>
      <c r="C6" t="s">
        <v>21</v>
      </c>
      <c r="D6" t="s">
        <v>354</v>
      </c>
      <c r="E6" t="s">
        <v>22</v>
      </c>
      <c r="G6">
        <v>13000</v>
      </c>
      <c r="H6">
        <v>0</v>
      </c>
    </row>
    <row r="7" spans="1:8" x14ac:dyDescent="0.25">
      <c r="A7" s="6" t="s">
        <v>359</v>
      </c>
      <c r="B7" t="s">
        <v>27</v>
      </c>
      <c r="C7" t="s">
        <v>21</v>
      </c>
      <c r="D7" t="s">
        <v>354</v>
      </c>
      <c r="E7" t="s">
        <v>22</v>
      </c>
      <c r="G7">
        <v>13000</v>
      </c>
      <c r="H7">
        <v>0</v>
      </c>
    </row>
    <row r="8" spans="1:8" x14ac:dyDescent="0.25">
      <c r="A8" s="6" t="s">
        <v>360</v>
      </c>
      <c r="B8" t="s">
        <v>28</v>
      </c>
      <c r="C8" t="s">
        <v>21</v>
      </c>
      <c r="D8" t="s">
        <v>354</v>
      </c>
      <c r="E8" t="s">
        <v>22</v>
      </c>
      <c r="G8">
        <v>13000</v>
      </c>
      <c r="H8">
        <v>0</v>
      </c>
    </row>
    <row r="9" spans="1:8" x14ac:dyDescent="0.25">
      <c r="A9" s="6" t="s">
        <v>361</v>
      </c>
      <c r="B9" t="s">
        <v>29</v>
      </c>
      <c r="C9" t="s">
        <v>21</v>
      </c>
      <c r="D9" t="s">
        <v>354</v>
      </c>
      <c r="E9" t="s">
        <v>22</v>
      </c>
      <c r="G9">
        <v>13000</v>
      </c>
      <c r="H9">
        <v>0</v>
      </c>
    </row>
    <row r="10" spans="1:8" x14ac:dyDescent="0.25">
      <c r="A10" s="6" t="s">
        <v>362</v>
      </c>
      <c r="B10" t="s">
        <v>30</v>
      </c>
      <c r="C10" t="s">
        <v>21</v>
      </c>
      <c r="D10" t="s">
        <v>354</v>
      </c>
      <c r="E10" t="s">
        <v>22</v>
      </c>
      <c r="G10">
        <v>9000</v>
      </c>
      <c r="H10">
        <v>0</v>
      </c>
    </row>
    <row r="11" spans="1:8" x14ac:dyDescent="0.25">
      <c r="A11" s="6" t="s">
        <v>363</v>
      </c>
      <c r="B11" t="s">
        <v>31</v>
      </c>
      <c r="C11" t="s">
        <v>21</v>
      </c>
      <c r="D11" t="s">
        <v>354</v>
      </c>
      <c r="E11" t="s">
        <v>22</v>
      </c>
      <c r="G11">
        <v>9000</v>
      </c>
      <c r="H11">
        <v>0</v>
      </c>
    </row>
    <row r="12" spans="1:8" x14ac:dyDescent="0.25">
      <c r="A12" s="6" t="s">
        <v>364</v>
      </c>
      <c r="B12" t="s">
        <v>32</v>
      </c>
      <c r="C12" t="s">
        <v>21</v>
      </c>
      <c r="D12" t="s">
        <v>354</v>
      </c>
      <c r="E12" t="s">
        <v>22</v>
      </c>
      <c r="G12">
        <v>9000</v>
      </c>
      <c r="H12">
        <v>0</v>
      </c>
    </row>
    <row r="13" spans="1:8" x14ac:dyDescent="0.25">
      <c r="A13" s="6" t="s">
        <v>365</v>
      </c>
      <c r="B13" t="s">
        <v>33</v>
      </c>
      <c r="C13" t="s">
        <v>21</v>
      </c>
      <c r="D13" t="s">
        <v>354</v>
      </c>
      <c r="E13" t="s">
        <v>22</v>
      </c>
      <c r="G13">
        <v>9000</v>
      </c>
      <c r="H13">
        <v>0</v>
      </c>
    </row>
    <row r="14" spans="1:8" x14ac:dyDescent="0.25">
      <c r="A14" s="6" t="s">
        <v>366</v>
      </c>
      <c r="B14" t="s">
        <v>34</v>
      </c>
      <c r="C14" t="s">
        <v>21</v>
      </c>
      <c r="D14" t="s">
        <v>354</v>
      </c>
      <c r="E14" t="s">
        <v>22</v>
      </c>
      <c r="G14">
        <v>9000</v>
      </c>
      <c r="H14">
        <v>0</v>
      </c>
    </row>
    <row r="15" spans="1:8" x14ac:dyDescent="0.25">
      <c r="A15" s="6" t="s">
        <v>367</v>
      </c>
      <c r="B15" t="s">
        <v>35</v>
      </c>
      <c r="C15" t="s">
        <v>21</v>
      </c>
      <c r="D15" t="s">
        <v>354</v>
      </c>
      <c r="E15" t="s">
        <v>22</v>
      </c>
      <c r="G15">
        <v>9000</v>
      </c>
      <c r="H15">
        <v>0</v>
      </c>
    </row>
    <row r="16" spans="1:8" x14ac:dyDescent="0.25">
      <c r="A16" s="6" t="s">
        <v>368</v>
      </c>
      <c r="B16" t="s">
        <v>36</v>
      </c>
      <c r="C16" t="s">
        <v>21</v>
      </c>
      <c r="D16" t="s">
        <v>354</v>
      </c>
      <c r="E16" t="s">
        <v>22</v>
      </c>
      <c r="G16">
        <v>9000</v>
      </c>
      <c r="H16">
        <v>0</v>
      </c>
    </row>
    <row r="17" spans="1:8" x14ac:dyDescent="0.25">
      <c r="A17" s="6" t="s">
        <v>369</v>
      </c>
      <c r="B17" t="s">
        <v>37</v>
      </c>
      <c r="C17" t="s">
        <v>21</v>
      </c>
      <c r="D17" t="s">
        <v>354</v>
      </c>
      <c r="E17" t="s">
        <v>22</v>
      </c>
      <c r="G17">
        <v>9000</v>
      </c>
      <c r="H17">
        <v>0</v>
      </c>
    </row>
    <row r="18" spans="1:8" x14ac:dyDescent="0.25">
      <c r="A18" s="6" t="s">
        <v>370</v>
      </c>
      <c r="B18" t="s">
        <v>38</v>
      </c>
      <c r="C18" t="s">
        <v>21</v>
      </c>
      <c r="D18" t="s">
        <v>354</v>
      </c>
      <c r="E18" t="s">
        <v>22</v>
      </c>
      <c r="G18">
        <v>5000</v>
      </c>
      <c r="H18">
        <v>0</v>
      </c>
    </row>
    <row r="19" spans="1:8" x14ac:dyDescent="0.25">
      <c r="A19" s="6" t="s">
        <v>371</v>
      </c>
      <c r="B19" t="s">
        <v>39</v>
      </c>
      <c r="C19" t="s">
        <v>21</v>
      </c>
      <c r="D19" t="s">
        <v>354</v>
      </c>
      <c r="E19" t="s">
        <v>22</v>
      </c>
      <c r="G19">
        <v>5000</v>
      </c>
      <c r="H19">
        <v>0</v>
      </c>
    </row>
    <row r="20" spans="1:8" x14ac:dyDescent="0.25">
      <c r="A20" s="6" t="s">
        <v>372</v>
      </c>
      <c r="B20" t="s">
        <v>40</v>
      </c>
      <c r="C20" t="s">
        <v>21</v>
      </c>
      <c r="D20" t="s">
        <v>354</v>
      </c>
      <c r="E20" t="s">
        <v>22</v>
      </c>
      <c r="G20">
        <v>5000</v>
      </c>
      <c r="H20">
        <v>0</v>
      </c>
    </row>
    <row r="21" spans="1:8" x14ac:dyDescent="0.25">
      <c r="A21" s="6" t="s">
        <v>373</v>
      </c>
      <c r="B21" t="s">
        <v>41</v>
      </c>
      <c r="C21" t="s">
        <v>21</v>
      </c>
      <c r="D21" t="s">
        <v>354</v>
      </c>
      <c r="E21" t="s">
        <v>22</v>
      </c>
      <c r="G21">
        <v>5000</v>
      </c>
      <c r="H21">
        <v>0</v>
      </c>
    </row>
    <row r="22" spans="1:8" x14ac:dyDescent="0.25">
      <c r="A22" s="6" t="s">
        <v>374</v>
      </c>
      <c r="B22" t="s">
        <v>42</v>
      </c>
      <c r="C22" t="s">
        <v>21</v>
      </c>
      <c r="D22" t="s">
        <v>354</v>
      </c>
      <c r="E22" t="s">
        <v>22</v>
      </c>
      <c r="G22">
        <v>5000</v>
      </c>
      <c r="H22">
        <v>0</v>
      </c>
    </row>
    <row r="23" spans="1:8" x14ac:dyDescent="0.25">
      <c r="A23" s="6" t="s">
        <v>375</v>
      </c>
      <c r="B23" t="s">
        <v>43</v>
      </c>
      <c r="C23" t="s">
        <v>21</v>
      </c>
      <c r="D23" t="s">
        <v>354</v>
      </c>
      <c r="E23" t="s">
        <v>22</v>
      </c>
      <c r="G23">
        <v>5000</v>
      </c>
      <c r="H23">
        <v>0</v>
      </c>
    </row>
    <row r="24" spans="1:8" x14ac:dyDescent="0.25">
      <c r="A24" s="6" t="s">
        <v>376</v>
      </c>
      <c r="B24" t="s">
        <v>44</v>
      </c>
      <c r="C24" t="s">
        <v>21</v>
      </c>
      <c r="D24" t="s">
        <v>354</v>
      </c>
      <c r="E24" t="s">
        <v>22</v>
      </c>
      <c r="G24">
        <v>5000</v>
      </c>
      <c r="H24">
        <v>0</v>
      </c>
    </row>
    <row r="25" spans="1:8" x14ac:dyDescent="0.25">
      <c r="A25" s="6" t="s">
        <v>377</v>
      </c>
      <c r="B25" t="s">
        <v>45</v>
      </c>
      <c r="C25" t="s">
        <v>21</v>
      </c>
      <c r="D25" t="s">
        <v>354</v>
      </c>
      <c r="E25" t="s">
        <v>22</v>
      </c>
      <c r="G25">
        <v>5000</v>
      </c>
      <c r="H25">
        <v>0</v>
      </c>
    </row>
    <row r="26" spans="1:8" x14ac:dyDescent="0.25">
      <c r="A26" s="6" t="s">
        <v>378</v>
      </c>
      <c r="B26" t="s">
        <v>46</v>
      </c>
      <c r="C26" t="s">
        <v>21</v>
      </c>
      <c r="D26" t="s">
        <v>354</v>
      </c>
      <c r="E26" t="s">
        <v>22</v>
      </c>
      <c r="G26">
        <v>9000</v>
      </c>
      <c r="H26">
        <v>0</v>
      </c>
    </row>
    <row r="27" spans="1:8" x14ac:dyDescent="0.25">
      <c r="A27" s="6" t="s">
        <v>379</v>
      </c>
      <c r="B27" t="s">
        <v>47</v>
      </c>
      <c r="C27" t="s">
        <v>21</v>
      </c>
      <c r="D27" t="s">
        <v>354</v>
      </c>
      <c r="E27" t="s">
        <v>22</v>
      </c>
      <c r="G27">
        <v>9000</v>
      </c>
      <c r="H27">
        <v>0</v>
      </c>
    </row>
    <row r="28" spans="1:8" x14ac:dyDescent="0.25">
      <c r="A28" s="6" t="s">
        <v>380</v>
      </c>
      <c r="B28" t="s">
        <v>48</v>
      </c>
      <c r="C28" t="s">
        <v>21</v>
      </c>
      <c r="D28" t="s">
        <v>354</v>
      </c>
      <c r="E28" t="s">
        <v>22</v>
      </c>
      <c r="G28">
        <v>9000</v>
      </c>
      <c r="H28">
        <v>0</v>
      </c>
    </row>
    <row r="29" spans="1:8" x14ac:dyDescent="0.25">
      <c r="A29" s="6" t="s">
        <v>381</v>
      </c>
      <c r="B29" t="s">
        <v>49</v>
      </c>
      <c r="C29" t="s">
        <v>21</v>
      </c>
      <c r="D29" t="s">
        <v>354</v>
      </c>
      <c r="E29" t="s">
        <v>22</v>
      </c>
      <c r="G29">
        <v>9000</v>
      </c>
      <c r="H29">
        <v>0</v>
      </c>
    </row>
    <row r="30" spans="1:8" x14ac:dyDescent="0.25">
      <c r="A30" s="6" t="s">
        <v>382</v>
      </c>
      <c r="B30" t="s">
        <v>50</v>
      </c>
      <c r="C30" t="s">
        <v>21</v>
      </c>
      <c r="D30" t="s">
        <v>354</v>
      </c>
      <c r="E30" t="s">
        <v>22</v>
      </c>
      <c r="G30">
        <v>9000</v>
      </c>
      <c r="H30">
        <v>0</v>
      </c>
    </row>
    <row r="31" spans="1:8" x14ac:dyDescent="0.25">
      <c r="A31" s="6" t="s">
        <v>383</v>
      </c>
      <c r="B31" t="s">
        <v>51</v>
      </c>
      <c r="C31" t="s">
        <v>21</v>
      </c>
      <c r="D31" t="s">
        <v>354</v>
      </c>
      <c r="E31" t="s">
        <v>22</v>
      </c>
      <c r="G31">
        <v>9000</v>
      </c>
      <c r="H31">
        <v>0</v>
      </c>
    </row>
    <row r="32" spans="1:8" x14ac:dyDescent="0.25">
      <c r="A32" s="6" t="s">
        <v>384</v>
      </c>
      <c r="B32" t="s">
        <v>52</v>
      </c>
      <c r="C32" t="s">
        <v>21</v>
      </c>
      <c r="D32" t="s">
        <v>354</v>
      </c>
      <c r="E32" t="s">
        <v>22</v>
      </c>
      <c r="G32">
        <v>9000</v>
      </c>
      <c r="H32">
        <v>0</v>
      </c>
    </row>
    <row r="33" spans="1:8" x14ac:dyDescent="0.25">
      <c r="A33" s="6" t="s">
        <v>385</v>
      </c>
      <c r="B33" t="s">
        <v>53</v>
      </c>
      <c r="C33" t="s">
        <v>21</v>
      </c>
      <c r="D33" t="s">
        <v>354</v>
      </c>
      <c r="E33" t="s">
        <v>22</v>
      </c>
      <c r="G33">
        <v>9600</v>
      </c>
      <c r="H33">
        <v>0</v>
      </c>
    </row>
    <row r="34" spans="1:8" x14ac:dyDescent="0.25">
      <c r="A34" s="6" t="s">
        <v>386</v>
      </c>
      <c r="B34" t="s">
        <v>54</v>
      </c>
      <c r="C34" t="s">
        <v>21</v>
      </c>
      <c r="D34" t="s">
        <v>354</v>
      </c>
      <c r="E34" t="s">
        <v>22</v>
      </c>
      <c r="G34">
        <v>9600</v>
      </c>
      <c r="H34">
        <v>0</v>
      </c>
    </row>
    <row r="35" spans="1:8" x14ac:dyDescent="0.25">
      <c r="A35" s="6" t="s">
        <v>387</v>
      </c>
      <c r="B35" t="s">
        <v>55</v>
      </c>
      <c r="C35" t="s">
        <v>21</v>
      </c>
      <c r="D35" t="s">
        <v>354</v>
      </c>
      <c r="E35" t="s">
        <v>22</v>
      </c>
      <c r="G35">
        <v>9600</v>
      </c>
      <c r="H35">
        <v>0</v>
      </c>
    </row>
    <row r="36" spans="1:8" x14ac:dyDescent="0.25">
      <c r="A36" s="6" t="s">
        <v>388</v>
      </c>
      <c r="B36" t="s">
        <v>56</v>
      </c>
      <c r="C36" t="s">
        <v>21</v>
      </c>
      <c r="D36" t="s">
        <v>354</v>
      </c>
      <c r="E36" t="s">
        <v>22</v>
      </c>
      <c r="G36">
        <v>9600</v>
      </c>
      <c r="H36">
        <v>0</v>
      </c>
    </row>
    <row r="37" spans="1:8" x14ac:dyDescent="0.25">
      <c r="A37" s="6" t="s">
        <v>389</v>
      </c>
      <c r="B37" t="s">
        <v>57</v>
      </c>
      <c r="C37" t="s">
        <v>21</v>
      </c>
      <c r="D37" t="s">
        <v>354</v>
      </c>
      <c r="E37" t="s">
        <v>22</v>
      </c>
      <c r="G37">
        <v>9600</v>
      </c>
      <c r="H37">
        <v>0</v>
      </c>
    </row>
    <row r="38" spans="1:8" x14ac:dyDescent="0.25">
      <c r="A38" s="6" t="s">
        <v>390</v>
      </c>
      <c r="B38" t="s">
        <v>58</v>
      </c>
      <c r="C38" t="s">
        <v>21</v>
      </c>
      <c r="D38" t="s">
        <v>354</v>
      </c>
      <c r="E38" t="s">
        <v>22</v>
      </c>
      <c r="G38">
        <v>9600</v>
      </c>
      <c r="H38">
        <v>0</v>
      </c>
    </row>
    <row r="39" spans="1:8" x14ac:dyDescent="0.25">
      <c r="A39" s="6" t="s">
        <v>391</v>
      </c>
      <c r="B39" t="s">
        <v>59</v>
      </c>
      <c r="C39" t="s">
        <v>21</v>
      </c>
      <c r="D39" t="s">
        <v>354</v>
      </c>
      <c r="E39" t="s">
        <v>22</v>
      </c>
      <c r="G39">
        <v>9600</v>
      </c>
      <c r="H39">
        <v>0</v>
      </c>
    </row>
    <row r="40" spans="1:8" x14ac:dyDescent="0.25">
      <c r="A40" s="6" t="s">
        <v>392</v>
      </c>
      <c r="B40" t="s">
        <v>60</v>
      </c>
      <c r="C40" t="s">
        <v>21</v>
      </c>
      <c r="D40" t="s">
        <v>354</v>
      </c>
      <c r="E40" t="s">
        <v>22</v>
      </c>
      <c r="G40">
        <v>7800</v>
      </c>
      <c r="H40">
        <v>0</v>
      </c>
    </row>
    <row r="41" spans="1:8" x14ac:dyDescent="0.25">
      <c r="A41" s="6" t="s">
        <v>393</v>
      </c>
      <c r="B41" t="s">
        <v>61</v>
      </c>
      <c r="C41" t="s">
        <v>21</v>
      </c>
      <c r="D41" t="s">
        <v>354</v>
      </c>
      <c r="E41" t="s">
        <v>22</v>
      </c>
      <c r="G41">
        <v>7800</v>
      </c>
      <c r="H41">
        <v>0</v>
      </c>
    </row>
    <row r="42" spans="1:8" x14ac:dyDescent="0.25">
      <c r="A42" s="6" t="s">
        <v>394</v>
      </c>
      <c r="B42" t="s">
        <v>62</v>
      </c>
      <c r="C42" t="s">
        <v>21</v>
      </c>
      <c r="D42" t="s">
        <v>354</v>
      </c>
      <c r="E42" t="s">
        <v>22</v>
      </c>
      <c r="G42">
        <v>7800</v>
      </c>
      <c r="H42">
        <v>0</v>
      </c>
    </row>
    <row r="43" spans="1:8" x14ac:dyDescent="0.25">
      <c r="A43" s="6" t="s">
        <v>395</v>
      </c>
      <c r="B43" t="s">
        <v>63</v>
      </c>
      <c r="C43" t="s">
        <v>21</v>
      </c>
      <c r="D43" t="s">
        <v>354</v>
      </c>
      <c r="E43" t="s">
        <v>22</v>
      </c>
      <c r="G43">
        <v>6000</v>
      </c>
      <c r="H43">
        <v>0</v>
      </c>
    </row>
    <row r="44" spans="1:8" x14ac:dyDescent="0.25">
      <c r="A44" s="6" t="s">
        <v>396</v>
      </c>
      <c r="B44" t="s">
        <v>64</v>
      </c>
      <c r="C44" t="s">
        <v>21</v>
      </c>
      <c r="D44" t="s">
        <v>354</v>
      </c>
      <c r="E44" t="s">
        <v>22</v>
      </c>
      <c r="G44">
        <v>6000</v>
      </c>
      <c r="H44">
        <v>0</v>
      </c>
    </row>
    <row r="45" spans="1:8" x14ac:dyDescent="0.25">
      <c r="A45" s="6" t="s">
        <v>397</v>
      </c>
      <c r="B45" t="s">
        <v>65</v>
      </c>
      <c r="C45" t="s">
        <v>21</v>
      </c>
      <c r="D45" t="s">
        <v>354</v>
      </c>
      <c r="E45" t="s">
        <v>22</v>
      </c>
      <c r="G45">
        <v>7800</v>
      </c>
      <c r="H45">
        <v>0</v>
      </c>
    </row>
    <row r="46" spans="1:8" x14ac:dyDescent="0.25">
      <c r="A46" s="6" t="s">
        <v>398</v>
      </c>
      <c r="B46" t="s">
        <v>66</v>
      </c>
      <c r="C46" t="s">
        <v>21</v>
      </c>
      <c r="D46" t="s">
        <v>354</v>
      </c>
      <c r="E46" t="s">
        <v>22</v>
      </c>
      <c r="G46">
        <v>7800</v>
      </c>
      <c r="H46">
        <v>0</v>
      </c>
    </row>
    <row r="47" spans="1:8" x14ac:dyDescent="0.25">
      <c r="A47" s="6" t="s">
        <v>399</v>
      </c>
      <c r="B47" t="s">
        <v>67</v>
      </c>
      <c r="C47" t="s">
        <v>21</v>
      </c>
      <c r="D47" t="s">
        <v>354</v>
      </c>
      <c r="E47" t="s">
        <v>22</v>
      </c>
      <c r="G47">
        <v>7800</v>
      </c>
      <c r="H47">
        <v>0</v>
      </c>
    </row>
    <row r="48" spans="1:8" x14ac:dyDescent="0.25">
      <c r="A48" s="6" t="s">
        <v>400</v>
      </c>
      <c r="B48" t="s">
        <v>68</v>
      </c>
      <c r="C48" t="s">
        <v>21</v>
      </c>
      <c r="D48" t="s">
        <v>354</v>
      </c>
      <c r="E48" t="s">
        <v>22</v>
      </c>
      <c r="G48">
        <v>7800</v>
      </c>
      <c r="H48">
        <v>0</v>
      </c>
    </row>
    <row r="49" spans="1:8" x14ac:dyDescent="0.25">
      <c r="A49" s="6" t="s">
        <v>401</v>
      </c>
      <c r="B49" t="s">
        <v>69</v>
      </c>
      <c r="C49" t="s">
        <v>70</v>
      </c>
      <c r="D49" t="s">
        <v>354</v>
      </c>
      <c r="E49" t="s">
        <v>22</v>
      </c>
      <c r="G49">
        <v>2500</v>
      </c>
      <c r="H49">
        <v>0</v>
      </c>
    </row>
    <row r="50" spans="1:8" x14ac:dyDescent="0.25">
      <c r="A50" s="6" t="s">
        <v>402</v>
      </c>
      <c r="B50" t="s">
        <v>71</v>
      </c>
      <c r="C50" t="s">
        <v>70</v>
      </c>
      <c r="D50" t="s">
        <v>354</v>
      </c>
      <c r="E50" t="s">
        <v>22</v>
      </c>
      <c r="G50">
        <v>5500</v>
      </c>
      <c r="H50">
        <v>0</v>
      </c>
    </row>
    <row r="51" spans="1:8" x14ac:dyDescent="0.25">
      <c r="A51" s="6" t="s">
        <v>403</v>
      </c>
      <c r="B51" t="s">
        <v>72</v>
      </c>
      <c r="C51" t="s">
        <v>70</v>
      </c>
      <c r="D51" t="s">
        <v>354</v>
      </c>
      <c r="E51" t="s">
        <v>22</v>
      </c>
      <c r="G51">
        <v>12000</v>
      </c>
      <c r="H51">
        <v>0</v>
      </c>
    </row>
    <row r="52" spans="1:8" x14ac:dyDescent="0.25">
      <c r="A52" s="6" t="s">
        <v>404</v>
      </c>
      <c r="B52" t="s">
        <v>73</v>
      </c>
      <c r="C52" t="s">
        <v>70</v>
      </c>
      <c r="D52" t="s">
        <v>354</v>
      </c>
      <c r="E52" t="s">
        <v>22</v>
      </c>
      <c r="G52">
        <v>33000</v>
      </c>
      <c r="H52">
        <v>0</v>
      </c>
    </row>
    <row r="53" spans="1:8" x14ac:dyDescent="0.25">
      <c r="A53" s="6" t="s">
        <v>405</v>
      </c>
      <c r="B53" t="s">
        <v>74</v>
      </c>
      <c r="C53" t="s">
        <v>75</v>
      </c>
      <c r="D53" t="s">
        <v>354</v>
      </c>
      <c r="E53" t="s">
        <v>22</v>
      </c>
      <c r="G53">
        <v>1000</v>
      </c>
      <c r="H53">
        <v>0</v>
      </c>
    </row>
    <row r="54" spans="1:8" x14ac:dyDescent="0.25">
      <c r="A54" s="6" t="s">
        <v>406</v>
      </c>
      <c r="B54" t="s">
        <v>76</v>
      </c>
      <c r="C54" t="s">
        <v>75</v>
      </c>
      <c r="D54" t="s">
        <v>354</v>
      </c>
      <c r="E54" t="s">
        <v>22</v>
      </c>
      <c r="G54">
        <v>1000</v>
      </c>
      <c r="H54">
        <v>0</v>
      </c>
    </row>
    <row r="55" spans="1:8" x14ac:dyDescent="0.25">
      <c r="A55" s="6" t="s">
        <v>407</v>
      </c>
      <c r="B55" t="s">
        <v>77</v>
      </c>
      <c r="C55" t="s">
        <v>75</v>
      </c>
      <c r="D55" t="s">
        <v>408</v>
      </c>
      <c r="E55" t="s">
        <v>22</v>
      </c>
      <c r="G55">
        <v>1000</v>
      </c>
      <c r="H55">
        <v>0</v>
      </c>
    </row>
    <row r="56" spans="1:8" x14ac:dyDescent="0.25">
      <c r="A56" s="6" t="s">
        <v>409</v>
      </c>
      <c r="B56" t="s">
        <v>78</v>
      </c>
      <c r="C56" t="s">
        <v>79</v>
      </c>
      <c r="D56" t="s">
        <v>354</v>
      </c>
      <c r="E56" t="s">
        <v>22</v>
      </c>
      <c r="G56">
        <v>2500</v>
      </c>
      <c r="H56">
        <v>0</v>
      </c>
    </row>
    <row r="57" spans="1:8" x14ac:dyDescent="0.25">
      <c r="A57" s="6" t="s">
        <v>410</v>
      </c>
      <c r="B57" t="s">
        <v>80</v>
      </c>
      <c r="C57" t="s">
        <v>79</v>
      </c>
      <c r="D57" t="s">
        <v>354</v>
      </c>
      <c r="E57" t="s">
        <v>22</v>
      </c>
      <c r="G57">
        <v>1600</v>
      </c>
      <c r="H57">
        <v>0</v>
      </c>
    </row>
    <row r="58" spans="1:8" x14ac:dyDescent="0.25">
      <c r="A58" s="6" t="s">
        <v>411</v>
      </c>
      <c r="B58" t="s">
        <v>81</v>
      </c>
      <c r="C58" t="s">
        <v>79</v>
      </c>
      <c r="D58" t="s">
        <v>354</v>
      </c>
      <c r="E58" t="s">
        <v>22</v>
      </c>
      <c r="G58">
        <v>2900</v>
      </c>
      <c r="H58">
        <v>0</v>
      </c>
    </row>
    <row r="59" spans="1:8" x14ac:dyDescent="0.25">
      <c r="A59" s="6" t="s">
        <v>412</v>
      </c>
      <c r="B59" t="s">
        <v>82</v>
      </c>
      <c r="C59" t="s">
        <v>79</v>
      </c>
      <c r="D59" t="s">
        <v>354</v>
      </c>
      <c r="E59" t="s">
        <v>22</v>
      </c>
      <c r="G59">
        <v>800</v>
      </c>
      <c r="H59">
        <v>0</v>
      </c>
    </row>
    <row r="60" spans="1:8" x14ac:dyDescent="0.25">
      <c r="A60" s="6" t="s">
        <v>413</v>
      </c>
      <c r="B60" t="s">
        <v>83</v>
      </c>
      <c r="C60" t="s">
        <v>79</v>
      </c>
      <c r="D60" t="s">
        <v>354</v>
      </c>
      <c r="E60" t="s">
        <v>22</v>
      </c>
      <c r="G60">
        <v>1500</v>
      </c>
      <c r="H60">
        <v>0</v>
      </c>
    </row>
    <row r="61" spans="1:8" x14ac:dyDescent="0.25">
      <c r="A61" s="6" t="s">
        <v>414</v>
      </c>
      <c r="B61" t="s">
        <v>84</v>
      </c>
      <c r="C61" t="s">
        <v>85</v>
      </c>
      <c r="D61" t="s">
        <v>354</v>
      </c>
      <c r="E61" t="s">
        <v>22</v>
      </c>
      <c r="G61">
        <v>2500</v>
      </c>
      <c r="H61">
        <v>0</v>
      </c>
    </row>
    <row r="62" spans="1:8" x14ac:dyDescent="0.25">
      <c r="A62" s="6" t="s">
        <v>415</v>
      </c>
      <c r="B62" t="s">
        <v>86</v>
      </c>
      <c r="C62" t="s">
        <v>85</v>
      </c>
      <c r="D62" t="s">
        <v>354</v>
      </c>
      <c r="E62" t="s">
        <v>22</v>
      </c>
      <c r="G62">
        <v>5500</v>
      </c>
      <c r="H62">
        <v>0</v>
      </c>
    </row>
    <row r="63" spans="1:8" x14ac:dyDescent="0.25">
      <c r="A63" s="6" t="s">
        <v>416</v>
      </c>
      <c r="B63" t="s">
        <v>87</v>
      </c>
      <c r="C63" t="s">
        <v>85</v>
      </c>
      <c r="D63" t="s">
        <v>354</v>
      </c>
      <c r="E63" t="s">
        <v>22</v>
      </c>
      <c r="G63">
        <v>9500</v>
      </c>
      <c r="H63">
        <v>0</v>
      </c>
    </row>
    <row r="64" spans="1:8" x14ac:dyDescent="0.25">
      <c r="A64" s="6" t="s">
        <v>417</v>
      </c>
      <c r="B64" t="s">
        <v>88</v>
      </c>
      <c r="C64" t="s">
        <v>85</v>
      </c>
      <c r="D64" t="s">
        <v>354</v>
      </c>
      <c r="E64" t="s">
        <v>22</v>
      </c>
      <c r="G64">
        <v>12600</v>
      </c>
      <c r="H64">
        <v>0</v>
      </c>
    </row>
    <row r="65" spans="1:8" x14ac:dyDescent="0.25">
      <c r="A65" s="6" t="s">
        <v>418</v>
      </c>
      <c r="B65" t="s">
        <v>89</v>
      </c>
      <c r="C65" t="s">
        <v>85</v>
      </c>
      <c r="D65" t="s">
        <v>354</v>
      </c>
      <c r="E65" t="s">
        <v>22</v>
      </c>
      <c r="G65">
        <v>14000</v>
      </c>
      <c r="H65">
        <v>0</v>
      </c>
    </row>
    <row r="66" spans="1:8" x14ac:dyDescent="0.25">
      <c r="A66" s="6" t="s">
        <v>419</v>
      </c>
      <c r="B66" t="s">
        <v>90</v>
      </c>
      <c r="C66" t="s">
        <v>91</v>
      </c>
      <c r="D66" t="s">
        <v>354</v>
      </c>
      <c r="E66" t="s">
        <v>22</v>
      </c>
      <c r="G66">
        <v>2500</v>
      </c>
      <c r="H66">
        <v>0</v>
      </c>
    </row>
    <row r="67" spans="1:8" x14ac:dyDescent="0.25">
      <c r="A67" s="6" t="s">
        <v>420</v>
      </c>
      <c r="B67" t="s">
        <v>92</v>
      </c>
      <c r="C67" t="s">
        <v>91</v>
      </c>
      <c r="D67" t="s">
        <v>354</v>
      </c>
      <c r="E67" t="s">
        <v>22</v>
      </c>
      <c r="G67">
        <v>3200</v>
      </c>
      <c r="H67">
        <v>0</v>
      </c>
    </row>
    <row r="68" spans="1:8" x14ac:dyDescent="0.25">
      <c r="A68" s="6" t="s">
        <v>421</v>
      </c>
      <c r="B68" t="s">
        <v>93</v>
      </c>
      <c r="C68" t="s">
        <v>91</v>
      </c>
      <c r="D68" t="s">
        <v>354</v>
      </c>
      <c r="E68" t="s">
        <v>22</v>
      </c>
      <c r="G68">
        <v>4000</v>
      </c>
      <c r="H68">
        <v>0</v>
      </c>
    </row>
    <row r="69" spans="1:8" x14ac:dyDescent="0.25">
      <c r="A69" s="6" t="s">
        <v>422</v>
      </c>
      <c r="B69" t="s">
        <v>94</v>
      </c>
      <c r="C69" t="s">
        <v>91</v>
      </c>
      <c r="D69" t="s">
        <v>354</v>
      </c>
      <c r="E69" t="s">
        <v>22</v>
      </c>
      <c r="G69">
        <v>4200</v>
      </c>
      <c r="H69">
        <v>0</v>
      </c>
    </row>
    <row r="70" spans="1:8" x14ac:dyDescent="0.25">
      <c r="A70" s="6" t="s">
        <v>423</v>
      </c>
      <c r="B70" t="s">
        <v>95</v>
      </c>
      <c r="C70" t="s">
        <v>91</v>
      </c>
      <c r="D70" t="s">
        <v>354</v>
      </c>
      <c r="E70" t="s">
        <v>22</v>
      </c>
      <c r="G70">
        <v>6000</v>
      </c>
      <c r="H70">
        <v>0</v>
      </c>
    </row>
    <row r="71" spans="1:8" x14ac:dyDescent="0.25">
      <c r="A71" s="6" t="s">
        <v>424</v>
      </c>
      <c r="B71" t="s">
        <v>96</v>
      </c>
      <c r="C71" t="s">
        <v>91</v>
      </c>
      <c r="D71" t="s">
        <v>354</v>
      </c>
      <c r="E71" t="s">
        <v>22</v>
      </c>
      <c r="G71">
        <v>3500</v>
      </c>
      <c r="H71">
        <v>0</v>
      </c>
    </row>
    <row r="72" spans="1:8" x14ac:dyDescent="0.25">
      <c r="A72" s="6" t="s">
        <v>425</v>
      </c>
      <c r="B72" t="s">
        <v>97</v>
      </c>
      <c r="C72" t="s">
        <v>85</v>
      </c>
      <c r="D72" t="s">
        <v>354</v>
      </c>
      <c r="E72" t="s">
        <v>22</v>
      </c>
      <c r="G72">
        <v>3800</v>
      </c>
      <c r="H72">
        <v>0</v>
      </c>
    </row>
    <row r="73" spans="1:8" x14ac:dyDescent="0.25">
      <c r="A73" s="6" t="s">
        <v>426</v>
      </c>
      <c r="B73" t="s">
        <v>98</v>
      </c>
      <c r="C73" t="s">
        <v>85</v>
      </c>
      <c r="D73" t="s">
        <v>354</v>
      </c>
      <c r="E73" t="s">
        <v>22</v>
      </c>
      <c r="G73">
        <v>5500</v>
      </c>
      <c r="H73">
        <v>0</v>
      </c>
    </row>
    <row r="74" spans="1:8" x14ac:dyDescent="0.25">
      <c r="A74" s="6" t="s">
        <v>427</v>
      </c>
      <c r="B74" t="s">
        <v>99</v>
      </c>
      <c r="C74" t="s">
        <v>85</v>
      </c>
      <c r="D74" t="s">
        <v>354</v>
      </c>
      <c r="E74" t="s">
        <v>22</v>
      </c>
      <c r="G74">
        <v>6000</v>
      </c>
      <c r="H74">
        <v>0</v>
      </c>
    </row>
    <row r="75" spans="1:8" x14ac:dyDescent="0.25">
      <c r="A75" s="6" t="s">
        <v>428</v>
      </c>
      <c r="B75" t="s">
        <v>100</v>
      </c>
      <c r="C75" t="s">
        <v>85</v>
      </c>
      <c r="D75" t="s">
        <v>354</v>
      </c>
      <c r="E75" t="s">
        <v>22</v>
      </c>
      <c r="G75">
        <v>6800</v>
      </c>
      <c r="H75">
        <v>0</v>
      </c>
    </row>
    <row r="76" spans="1:8" x14ac:dyDescent="0.25">
      <c r="A76" s="6" t="s">
        <v>429</v>
      </c>
      <c r="B76" t="s">
        <v>101</v>
      </c>
      <c r="C76" t="s">
        <v>85</v>
      </c>
      <c r="D76" t="s">
        <v>354</v>
      </c>
      <c r="E76" t="s">
        <v>22</v>
      </c>
      <c r="G76">
        <v>8000</v>
      </c>
      <c r="H76">
        <v>0</v>
      </c>
    </row>
    <row r="77" spans="1:8" x14ac:dyDescent="0.25">
      <c r="A77" s="6" t="s">
        <v>430</v>
      </c>
      <c r="B77" t="s">
        <v>102</v>
      </c>
      <c r="C77" t="s">
        <v>85</v>
      </c>
      <c r="D77" t="s">
        <v>354</v>
      </c>
      <c r="E77" t="s">
        <v>22</v>
      </c>
      <c r="G77">
        <v>9200</v>
      </c>
      <c r="H77">
        <v>0</v>
      </c>
    </row>
    <row r="78" spans="1:8" x14ac:dyDescent="0.25">
      <c r="A78" s="6" t="s">
        <v>431</v>
      </c>
      <c r="B78" t="s">
        <v>103</v>
      </c>
      <c r="C78" t="s">
        <v>85</v>
      </c>
      <c r="D78" t="s">
        <v>354</v>
      </c>
      <c r="E78" t="s">
        <v>22</v>
      </c>
      <c r="G78">
        <v>9000</v>
      </c>
      <c r="H78">
        <v>0</v>
      </c>
    </row>
    <row r="79" spans="1:8" x14ac:dyDescent="0.25">
      <c r="A79" s="6" t="s">
        <v>432</v>
      </c>
      <c r="B79" t="s">
        <v>104</v>
      </c>
      <c r="C79" t="s">
        <v>85</v>
      </c>
      <c r="D79" t="s">
        <v>354</v>
      </c>
      <c r="E79" t="s">
        <v>22</v>
      </c>
      <c r="G79">
        <v>13000</v>
      </c>
      <c r="H79">
        <v>0</v>
      </c>
    </row>
    <row r="80" spans="1:8" x14ac:dyDescent="0.25">
      <c r="A80" s="6" t="s">
        <v>433</v>
      </c>
      <c r="B80" t="s">
        <v>105</v>
      </c>
      <c r="C80" t="s">
        <v>85</v>
      </c>
      <c r="D80" t="s">
        <v>354</v>
      </c>
      <c r="E80" t="s">
        <v>22</v>
      </c>
      <c r="G80">
        <v>13650</v>
      </c>
      <c r="H80">
        <v>0</v>
      </c>
    </row>
    <row r="81" spans="1:8" x14ac:dyDescent="0.25">
      <c r="A81" s="6" t="s">
        <v>434</v>
      </c>
      <c r="B81" t="s">
        <v>106</v>
      </c>
      <c r="C81" t="s">
        <v>85</v>
      </c>
      <c r="D81" t="s">
        <v>354</v>
      </c>
      <c r="E81" t="s">
        <v>22</v>
      </c>
      <c r="G81">
        <v>21450</v>
      </c>
      <c r="H81">
        <v>0</v>
      </c>
    </row>
    <row r="82" spans="1:8" x14ac:dyDescent="0.25">
      <c r="A82" s="6" t="s">
        <v>435</v>
      </c>
      <c r="B82" t="s">
        <v>107</v>
      </c>
      <c r="C82" t="s">
        <v>85</v>
      </c>
      <c r="D82" t="s">
        <v>354</v>
      </c>
      <c r="E82" t="s">
        <v>22</v>
      </c>
      <c r="G82">
        <v>42000</v>
      </c>
      <c r="H82">
        <v>0</v>
      </c>
    </row>
    <row r="83" spans="1:8" x14ac:dyDescent="0.25">
      <c r="A83" s="6" t="s">
        <v>436</v>
      </c>
      <c r="B83" t="s">
        <v>108</v>
      </c>
      <c r="C83" t="s">
        <v>109</v>
      </c>
      <c r="D83" t="s">
        <v>354</v>
      </c>
      <c r="E83" t="s">
        <v>22</v>
      </c>
      <c r="G83">
        <v>7000</v>
      </c>
      <c r="H83">
        <v>0</v>
      </c>
    </row>
    <row r="84" spans="1:8" x14ac:dyDescent="0.25">
      <c r="A84" s="6" t="s">
        <v>437</v>
      </c>
      <c r="B84" t="s">
        <v>110</v>
      </c>
      <c r="C84" t="s">
        <v>109</v>
      </c>
      <c r="D84" t="s">
        <v>354</v>
      </c>
      <c r="E84" t="s">
        <v>22</v>
      </c>
      <c r="G84">
        <v>7000</v>
      </c>
      <c r="H84">
        <v>0</v>
      </c>
    </row>
    <row r="85" spans="1:8" x14ac:dyDescent="0.25">
      <c r="A85" s="6" t="s">
        <v>438</v>
      </c>
      <c r="B85" t="s">
        <v>111</v>
      </c>
      <c r="C85" t="s">
        <v>109</v>
      </c>
      <c r="D85" t="s">
        <v>354</v>
      </c>
      <c r="E85" t="s">
        <v>22</v>
      </c>
      <c r="G85">
        <v>7000</v>
      </c>
      <c r="H85">
        <v>0</v>
      </c>
    </row>
    <row r="86" spans="1:8" x14ac:dyDescent="0.25">
      <c r="A86" s="6" t="s">
        <v>439</v>
      </c>
      <c r="B86" t="s">
        <v>112</v>
      </c>
      <c r="C86" t="s">
        <v>109</v>
      </c>
      <c r="D86" t="s">
        <v>354</v>
      </c>
      <c r="E86" t="s">
        <v>22</v>
      </c>
      <c r="G86">
        <v>5000</v>
      </c>
      <c r="H86">
        <v>0</v>
      </c>
    </row>
    <row r="87" spans="1:8" x14ac:dyDescent="0.25">
      <c r="A87" s="6" t="s">
        <v>440</v>
      </c>
      <c r="B87" t="s">
        <v>113</v>
      </c>
      <c r="C87" t="s">
        <v>109</v>
      </c>
      <c r="D87" t="s">
        <v>354</v>
      </c>
      <c r="E87" t="s">
        <v>22</v>
      </c>
      <c r="G87">
        <v>5000</v>
      </c>
      <c r="H87">
        <v>0</v>
      </c>
    </row>
    <row r="88" spans="1:8" x14ac:dyDescent="0.25">
      <c r="A88" s="6" t="s">
        <v>441</v>
      </c>
      <c r="B88" t="s">
        <v>114</v>
      </c>
      <c r="C88" t="s">
        <v>115</v>
      </c>
      <c r="D88" t="s">
        <v>354</v>
      </c>
      <c r="E88" t="s">
        <v>22</v>
      </c>
      <c r="G88">
        <v>2000</v>
      </c>
      <c r="H88">
        <v>0</v>
      </c>
    </row>
    <row r="89" spans="1:8" x14ac:dyDescent="0.25">
      <c r="A89" s="6" t="s">
        <v>442</v>
      </c>
      <c r="B89" t="s">
        <v>116</v>
      </c>
      <c r="C89" t="s">
        <v>115</v>
      </c>
      <c r="D89" t="s">
        <v>354</v>
      </c>
      <c r="E89" t="s">
        <v>22</v>
      </c>
      <c r="G89">
        <v>2700</v>
      </c>
      <c r="H89">
        <v>0</v>
      </c>
    </row>
    <row r="90" spans="1:8" x14ac:dyDescent="0.25">
      <c r="A90" s="6" t="s">
        <v>443</v>
      </c>
      <c r="B90" t="s">
        <v>117</v>
      </c>
      <c r="C90" t="s">
        <v>115</v>
      </c>
      <c r="D90" t="s">
        <v>354</v>
      </c>
      <c r="E90" t="s">
        <v>22</v>
      </c>
      <c r="G90">
        <v>2200</v>
      </c>
      <c r="H90">
        <v>0</v>
      </c>
    </row>
    <row r="91" spans="1:8" x14ac:dyDescent="0.25">
      <c r="A91" s="6" t="s">
        <v>444</v>
      </c>
      <c r="B91" t="s">
        <v>118</v>
      </c>
      <c r="C91" t="s">
        <v>115</v>
      </c>
      <c r="D91" t="s">
        <v>354</v>
      </c>
      <c r="E91" t="s">
        <v>22</v>
      </c>
      <c r="G91">
        <v>2700</v>
      </c>
      <c r="H91">
        <v>0</v>
      </c>
    </row>
    <row r="92" spans="1:8" x14ac:dyDescent="0.25">
      <c r="A92" s="6" t="s">
        <v>445</v>
      </c>
      <c r="B92" t="s">
        <v>119</v>
      </c>
      <c r="C92" t="s">
        <v>115</v>
      </c>
      <c r="D92" t="s">
        <v>354</v>
      </c>
      <c r="E92" t="s">
        <v>22</v>
      </c>
      <c r="G92">
        <v>3000</v>
      </c>
      <c r="H92">
        <v>0</v>
      </c>
    </row>
    <row r="93" spans="1:8" x14ac:dyDescent="0.25">
      <c r="A93" s="6" t="s">
        <v>446</v>
      </c>
      <c r="B93" t="s">
        <v>120</v>
      </c>
      <c r="C93" t="s">
        <v>115</v>
      </c>
      <c r="D93" t="s">
        <v>354</v>
      </c>
      <c r="E93" t="s">
        <v>22</v>
      </c>
      <c r="G93">
        <v>3300</v>
      </c>
      <c r="H93">
        <v>0</v>
      </c>
    </row>
    <row r="94" spans="1:8" x14ac:dyDescent="0.25">
      <c r="A94" s="6" t="s">
        <v>447</v>
      </c>
      <c r="B94" t="s">
        <v>121</v>
      </c>
      <c r="C94" t="s">
        <v>115</v>
      </c>
      <c r="D94" t="s">
        <v>354</v>
      </c>
      <c r="E94" t="s">
        <v>22</v>
      </c>
      <c r="G94">
        <v>3700</v>
      </c>
      <c r="H94">
        <v>0</v>
      </c>
    </row>
    <row r="95" spans="1:8" x14ac:dyDescent="0.25">
      <c r="A95" s="6" t="s">
        <v>448</v>
      </c>
      <c r="B95" t="s">
        <v>122</v>
      </c>
      <c r="C95" t="s">
        <v>115</v>
      </c>
      <c r="D95" t="s">
        <v>354</v>
      </c>
      <c r="E95" t="s">
        <v>22</v>
      </c>
      <c r="G95">
        <v>3600</v>
      </c>
    </row>
    <row r="96" spans="1:8" x14ac:dyDescent="0.25">
      <c r="A96" s="6" t="s">
        <v>449</v>
      </c>
      <c r="B96" t="s">
        <v>123</v>
      </c>
      <c r="C96" t="s">
        <v>115</v>
      </c>
      <c r="D96" t="s">
        <v>354</v>
      </c>
      <c r="E96" t="s">
        <v>22</v>
      </c>
      <c r="G96">
        <v>1800</v>
      </c>
    </row>
    <row r="97" spans="1:7" x14ac:dyDescent="0.25">
      <c r="A97" s="6" t="s">
        <v>450</v>
      </c>
      <c r="B97" t="s">
        <v>124</v>
      </c>
      <c r="C97" t="s">
        <v>115</v>
      </c>
      <c r="D97" t="s">
        <v>354</v>
      </c>
      <c r="E97" t="s">
        <v>22</v>
      </c>
      <c r="G97">
        <v>1950</v>
      </c>
    </row>
    <row r="98" spans="1:7" x14ac:dyDescent="0.25">
      <c r="A98" s="6" t="s">
        <v>451</v>
      </c>
      <c r="B98" t="s">
        <v>125</v>
      </c>
      <c r="C98" t="s">
        <v>115</v>
      </c>
      <c r="D98" t="s">
        <v>354</v>
      </c>
      <c r="E98" t="s">
        <v>22</v>
      </c>
      <c r="G98">
        <v>3750</v>
      </c>
    </row>
    <row r="99" spans="1:7" x14ac:dyDescent="0.25">
      <c r="A99" s="6" t="s">
        <v>452</v>
      </c>
      <c r="B99" t="s">
        <v>126</v>
      </c>
      <c r="C99" t="s">
        <v>115</v>
      </c>
      <c r="D99" t="s">
        <v>354</v>
      </c>
      <c r="E99" t="s">
        <v>22</v>
      </c>
      <c r="G99">
        <v>2100</v>
      </c>
    </row>
    <row r="100" spans="1:7" x14ac:dyDescent="0.25">
      <c r="A100" s="6" t="s">
        <v>453</v>
      </c>
      <c r="B100" t="s">
        <v>127</v>
      </c>
      <c r="C100" t="s">
        <v>115</v>
      </c>
      <c r="D100" t="s">
        <v>354</v>
      </c>
      <c r="E100" t="s">
        <v>22</v>
      </c>
      <c r="G100">
        <v>3250</v>
      </c>
    </row>
    <row r="101" spans="1:7" x14ac:dyDescent="0.25">
      <c r="A101" s="6" t="s">
        <v>454</v>
      </c>
      <c r="B101" t="s">
        <v>128</v>
      </c>
      <c r="C101" t="s">
        <v>115</v>
      </c>
      <c r="D101" t="s">
        <v>354</v>
      </c>
      <c r="E101" t="s">
        <v>22</v>
      </c>
      <c r="G101">
        <v>1800</v>
      </c>
    </row>
    <row r="102" spans="1:7" x14ac:dyDescent="0.25">
      <c r="A102" s="6" t="s">
        <v>455</v>
      </c>
      <c r="B102" t="s">
        <v>129</v>
      </c>
      <c r="C102" t="s">
        <v>115</v>
      </c>
      <c r="D102" t="s">
        <v>354</v>
      </c>
      <c r="E102" t="s">
        <v>22</v>
      </c>
      <c r="G102">
        <v>4000</v>
      </c>
    </row>
    <row r="103" spans="1:7" x14ac:dyDescent="0.25">
      <c r="A103" s="6" t="s">
        <v>456</v>
      </c>
      <c r="B103" t="s">
        <v>130</v>
      </c>
      <c r="C103" t="s">
        <v>115</v>
      </c>
      <c r="D103" t="s">
        <v>354</v>
      </c>
      <c r="E103" t="s">
        <v>22</v>
      </c>
      <c r="G103">
        <v>3200</v>
      </c>
    </row>
    <row r="104" spans="1:7" x14ac:dyDescent="0.25">
      <c r="A104" s="6" t="s">
        <v>457</v>
      </c>
      <c r="B104" t="s">
        <v>131</v>
      </c>
      <c r="C104" t="s">
        <v>115</v>
      </c>
      <c r="D104" t="s">
        <v>354</v>
      </c>
      <c r="E104" t="s">
        <v>22</v>
      </c>
      <c r="G104">
        <v>3500</v>
      </c>
    </row>
    <row r="105" spans="1:7" x14ac:dyDescent="0.25">
      <c r="A105" s="6" t="s">
        <v>458</v>
      </c>
      <c r="B105" t="s">
        <v>132</v>
      </c>
      <c r="C105" t="s">
        <v>115</v>
      </c>
      <c r="D105" t="s">
        <v>354</v>
      </c>
      <c r="E105" t="s">
        <v>22</v>
      </c>
      <c r="G105">
        <v>2500</v>
      </c>
    </row>
    <row r="106" spans="1:7" x14ac:dyDescent="0.25">
      <c r="A106" s="6" t="s">
        <v>459</v>
      </c>
      <c r="B106" t="s">
        <v>133</v>
      </c>
      <c r="C106" t="s">
        <v>115</v>
      </c>
      <c r="D106" t="s">
        <v>354</v>
      </c>
      <c r="E106" t="s">
        <v>22</v>
      </c>
      <c r="G106">
        <v>3400</v>
      </c>
    </row>
    <row r="107" spans="1:7" x14ac:dyDescent="0.25">
      <c r="A107" s="6" t="s">
        <v>460</v>
      </c>
      <c r="B107" t="s">
        <v>134</v>
      </c>
      <c r="C107" t="s">
        <v>115</v>
      </c>
      <c r="D107" t="s">
        <v>354</v>
      </c>
      <c r="E107" t="s">
        <v>22</v>
      </c>
      <c r="G107">
        <v>2800</v>
      </c>
    </row>
    <row r="108" spans="1:7" x14ac:dyDescent="0.25">
      <c r="A108" s="6" t="s">
        <v>461</v>
      </c>
      <c r="B108" t="s">
        <v>135</v>
      </c>
      <c r="C108" t="s">
        <v>115</v>
      </c>
      <c r="D108" t="s">
        <v>354</v>
      </c>
      <c r="E108" t="s">
        <v>22</v>
      </c>
      <c r="G108">
        <v>4800</v>
      </c>
    </row>
    <row r="109" spans="1:7" x14ac:dyDescent="0.25">
      <c r="A109" s="6" t="s">
        <v>462</v>
      </c>
      <c r="B109" t="s">
        <v>136</v>
      </c>
      <c r="C109" t="s">
        <v>115</v>
      </c>
      <c r="D109" t="s">
        <v>354</v>
      </c>
      <c r="E109" t="s">
        <v>22</v>
      </c>
      <c r="G109">
        <v>1800</v>
      </c>
    </row>
    <row r="110" spans="1:7" x14ac:dyDescent="0.25">
      <c r="A110" s="6" t="s">
        <v>463</v>
      </c>
      <c r="B110" t="s">
        <v>137</v>
      </c>
      <c r="C110" t="s">
        <v>115</v>
      </c>
      <c r="D110" t="s">
        <v>354</v>
      </c>
      <c r="E110" t="s">
        <v>22</v>
      </c>
      <c r="G110">
        <v>4000</v>
      </c>
    </row>
    <row r="111" spans="1:7" x14ac:dyDescent="0.25">
      <c r="A111" s="6" t="s">
        <v>464</v>
      </c>
      <c r="B111" t="s">
        <v>138</v>
      </c>
      <c r="C111" t="s">
        <v>115</v>
      </c>
      <c r="D111" t="s">
        <v>354</v>
      </c>
      <c r="E111" t="s">
        <v>22</v>
      </c>
      <c r="G111">
        <v>3000</v>
      </c>
    </row>
    <row r="112" spans="1:7" x14ac:dyDescent="0.25">
      <c r="A112" s="6" t="s">
        <v>465</v>
      </c>
      <c r="B112" t="s">
        <v>139</v>
      </c>
      <c r="C112" t="s">
        <v>115</v>
      </c>
      <c r="D112" t="s">
        <v>354</v>
      </c>
      <c r="E112" t="s">
        <v>22</v>
      </c>
      <c r="G112">
        <v>4200</v>
      </c>
    </row>
    <row r="113" spans="1:7" x14ac:dyDescent="0.25">
      <c r="A113" s="6" t="s">
        <v>466</v>
      </c>
      <c r="B113" t="s">
        <v>140</v>
      </c>
      <c r="C113" t="s">
        <v>115</v>
      </c>
      <c r="D113" t="s">
        <v>354</v>
      </c>
      <c r="E113" t="s">
        <v>22</v>
      </c>
      <c r="G113">
        <v>4200</v>
      </c>
    </row>
    <row r="114" spans="1:7" x14ac:dyDescent="0.25">
      <c r="A114" s="6" t="s">
        <v>467</v>
      </c>
      <c r="B114" t="s">
        <v>141</v>
      </c>
      <c r="C114" t="s">
        <v>115</v>
      </c>
      <c r="D114" t="s">
        <v>354</v>
      </c>
      <c r="E114" t="s">
        <v>22</v>
      </c>
      <c r="G114">
        <v>6700</v>
      </c>
    </row>
    <row r="115" spans="1:7" x14ac:dyDescent="0.25">
      <c r="A115" s="6" t="s">
        <v>468</v>
      </c>
      <c r="B115" t="s">
        <v>142</v>
      </c>
      <c r="C115" t="s">
        <v>115</v>
      </c>
      <c r="D115" t="s">
        <v>354</v>
      </c>
      <c r="E115" t="s">
        <v>22</v>
      </c>
      <c r="G115">
        <v>5700</v>
      </c>
    </row>
    <row r="116" spans="1:7" x14ac:dyDescent="0.25">
      <c r="A116" s="6" t="s">
        <v>469</v>
      </c>
      <c r="B116" t="s">
        <v>143</v>
      </c>
      <c r="C116" t="s">
        <v>115</v>
      </c>
      <c r="D116" t="s">
        <v>354</v>
      </c>
      <c r="E116" t="s">
        <v>22</v>
      </c>
      <c r="G116">
        <v>8000</v>
      </c>
    </row>
    <row r="117" spans="1:7" x14ac:dyDescent="0.25">
      <c r="A117" s="6" t="s">
        <v>470</v>
      </c>
      <c r="B117" t="s">
        <v>144</v>
      </c>
      <c r="C117" t="s">
        <v>145</v>
      </c>
      <c r="D117" t="s">
        <v>471</v>
      </c>
      <c r="E117" t="s">
        <v>22</v>
      </c>
      <c r="G117">
        <v>5500</v>
      </c>
    </row>
    <row r="118" spans="1:7" x14ac:dyDescent="0.25">
      <c r="A118" s="6" t="s">
        <v>472</v>
      </c>
      <c r="B118" t="s">
        <v>146</v>
      </c>
      <c r="C118" t="s">
        <v>147</v>
      </c>
      <c r="D118" t="s">
        <v>473</v>
      </c>
      <c r="E118" t="s">
        <v>22</v>
      </c>
      <c r="G118">
        <v>1900</v>
      </c>
    </row>
    <row r="119" spans="1:7" x14ac:dyDescent="0.25">
      <c r="A119" s="6" t="s">
        <v>474</v>
      </c>
      <c r="B119" t="s">
        <v>148</v>
      </c>
      <c r="C119" t="s">
        <v>147</v>
      </c>
      <c r="D119" t="s">
        <v>475</v>
      </c>
      <c r="E119" t="s">
        <v>22</v>
      </c>
      <c r="G119">
        <v>2300</v>
      </c>
    </row>
    <row r="120" spans="1:7" x14ac:dyDescent="0.25">
      <c r="A120" s="6" t="s">
        <v>476</v>
      </c>
      <c r="B120" t="s">
        <v>149</v>
      </c>
      <c r="C120" t="s">
        <v>147</v>
      </c>
      <c r="D120" t="s">
        <v>477</v>
      </c>
      <c r="E120" t="s">
        <v>22</v>
      </c>
      <c r="G120">
        <v>0</v>
      </c>
    </row>
    <row r="121" spans="1:7" x14ac:dyDescent="0.25">
      <c r="A121" s="6" t="s">
        <v>478</v>
      </c>
      <c r="B121" t="s">
        <v>150</v>
      </c>
      <c r="C121" t="s">
        <v>151</v>
      </c>
      <c r="D121" t="s">
        <v>354</v>
      </c>
      <c r="E121" t="s">
        <v>22</v>
      </c>
      <c r="G121">
        <v>4500</v>
      </c>
    </row>
    <row r="122" spans="1:7" x14ac:dyDescent="0.25">
      <c r="A122" s="6" t="s">
        <v>479</v>
      </c>
      <c r="B122" t="s">
        <v>152</v>
      </c>
      <c r="C122" t="s">
        <v>151</v>
      </c>
      <c r="D122" t="s">
        <v>354</v>
      </c>
      <c r="E122" t="s">
        <v>22</v>
      </c>
      <c r="G122">
        <v>5700</v>
      </c>
    </row>
    <row r="123" spans="1:7" x14ac:dyDescent="0.25">
      <c r="A123" s="6" t="s">
        <v>480</v>
      </c>
      <c r="B123" t="s">
        <v>153</v>
      </c>
      <c r="C123" t="s">
        <v>151</v>
      </c>
      <c r="D123" t="s">
        <v>354</v>
      </c>
      <c r="E123" t="s">
        <v>22</v>
      </c>
      <c r="G123">
        <v>7300</v>
      </c>
    </row>
    <row r="124" spans="1:7" x14ac:dyDescent="0.25">
      <c r="A124" s="6" t="s">
        <v>481</v>
      </c>
      <c r="B124" t="s">
        <v>154</v>
      </c>
      <c r="C124" t="s">
        <v>155</v>
      </c>
      <c r="D124" t="s">
        <v>408</v>
      </c>
      <c r="E124" t="s">
        <v>22</v>
      </c>
      <c r="G124">
        <v>3400</v>
      </c>
    </row>
    <row r="125" spans="1:7" x14ac:dyDescent="0.25">
      <c r="A125" s="6" t="s">
        <v>482</v>
      </c>
      <c r="B125" t="s">
        <v>156</v>
      </c>
      <c r="C125" t="s">
        <v>155</v>
      </c>
      <c r="D125" t="s">
        <v>408</v>
      </c>
      <c r="E125" t="s">
        <v>22</v>
      </c>
      <c r="G125">
        <v>0</v>
      </c>
    </row>
    <row r="126" spans="1:7" x14ac:dyDescent="0.25">
      <c r="A126" s="6" t="s">
        <v>483</v>
      </c>
      <c r="B126" t="s">
        <v>157</v>
      </c>
      <c r="C126" t="s">
        <v>158</v>
      </c>
      <c r="D126" t="s">
        <v>354</v>
      </c>
      <c r="E126" t="s">
        <v>22</v>
      </c>
      <c r="G126">
        <v>26000</v>
      </c>
    </row>
    <row r="127" spans="1:7" x14ac:dyDescent="0.25">
      <c r="A127" s="6" t="s">
        <v>484</v>
      </c>
      <c r="B127" t="s">
        <v>159</v>
      </c>
      <c r="C127" t="s">
        <v>158</v>
      </c>
      <c r="D127" t="s">
        <v>354</v>
      </c>
      <c r="E127" t="s">
        <v>22</v>
      </c>
      <c r="G127">
        <v>17000</v>
      </c>
    </row>
    <row r="128" spans="1:7" x14ac:dyDescent="0.25">
      <c r="A128" s="6" t="s">
        <v>485</v>
      </c>
      <c r="B128" t="s">
        <v>160</v>
      </c>
      <c r="C128" t="s">
        <v>158</v>
      </c>
      <c r="D128" t="s">
        <v>354</v>
      </c>
      <c r="E128" t="s">
        <v>22</v>
      </c>
      <c r="G128">
        <v>6900</v>
      </c>
    </row>
    <row r="129" spans="1:7" x14ac:dyDescent="0.25">
      <c r="A129" s="6" t="s">
        <v>486</v>
      </c>
      <c r="B129" t="s">
        <v>161</v>
      </c>
      <c r="C129" t="s">
        <v>158</v>
      </c>
      <c r="D129" t="s">
        <v>354</v>
      </c>
      <c r="E129" t="s">
        <v>22</v>
      </c>
      <c r="G129">
        <v>4000</v>
      </c>
    </row>
    <row r="130" spans="1:7" x14ac:dyDescent="0.25">
      <c r="A130" s="6" t="s">
        <v>487</v>
      </c>
      <c r="B130" t="s">
        <v>162</v>
      </c>
      <c r="C130" t="s">
        <v>163</v>
      </c>
      <c r="D130" t="s">
        <v>408</v>
      </c>
      <c r="E130" t="s">
        <v>22</v>
      </c>
      <c r="G130">
        <v>2700</v>
      </c>
    </row>
    <row r="131" spans="1:7" x14ac:dyDescent="0.25">
      <c r="A131" s="6" t="s">
        <v>488</v>
      </c>
      <c r="B131" t="s">
        <v>164</v>
      </c>
      <c r="C131" t="s">
        <v>163</v>
      </c>
      <c r="D131" t="s">
        <v>489</v>
      </c>
      <c r="E131" t="s">
        <v>22</v>
      </c>
      <c r="G131">
        <v>6000</v>
      </c>
    </row>
    <row r="132" spans="1:7" x14ac:dyDescent="0.25">
      <c r="A132" s="6" t="s">
        <v>490</v>
      </c>
      <c r="B132" t="s">
        <v>165</v>
      </c>
      <c r="C132" t="s">
        <v>163</v>
      </c>
      <c r="D132" t="s">
        <v>489</v>
      </c>
      <c r="E132" t="s">
        <v>22</v>
      </c>
      <c r="G132">
        <v>3800</v>
      </c>
    </row>
    <row r="133" spans="1:7" x14ac:dyDescent="0.25">
      <c r="A133" s="6" t="s">
        <v>491</v>
      </c>
      <c r="B133" t="s">
        <v>166</v>
      </c>
      <c r="C133" t="s">
        <v>163</v>
      </c>
      <c r="D133" t="s">
        <v>408</v>
      </c>
      <c r="E133" t="s">
        <v>22</v>
      </c>
      <c r="G133">
        <v>3500</v>
      </c>
    </row>
    <row r="134" spans="1:7" x14ac:dyDescent="0.25">
      <c r="A134" s="6" t="s">
        <v>492</v>
      </c>
      <c r="B134" t="s">
        <v>167</v>
      </c>
      <c r="C134" t="s">
        <v>163</v>
      </c>
      <c r="D134" t="s">
        <v>408</v>
      </c>
      <c r="E134" t="s">
        <v>22</v>
      </c>
      <c r="G134">
        <v>3800</v>
      </c>
    </row>
    <row r="135" spans="1:7" x14ac:dyDescent="0.25">
      <c r="A135" s="6" t="s">
        <v>493</v>
      </c>
      <c r="B135" t="s">
        <v>168</v>
      </c>
      <c r="C135" t="s">
        <v>163</v>
      </c>
      <c r="D135" t="s">
        <v>408</v>
      </c>
      <c r="E135" t="s">
        <v>22</v>
      </c>
      <c r="G135">
        <v>0</v>
      </c>
    </row>
    <row r="136" spans="1:7" x14ac:dyDescent="0.25">
      <c r="A136" s="6" t="s">
        <v>494</v>
      </c>
      <c r="B136" t="s">
        <v>169</v>
      </c>
      <c r="C136" t="s">
        <v>163</v>
      </c>
      <c r="D136" t="s">
        <v>489</v>
      </c>
      <c r="E136" t="s">
        <v>22</v>
      </c>
      <c r="G136">
        <v>2000</v>
      </c>
    </row>
    <row r="137" spans="1:7" x14ac:dyDescent="0.25">
      <c r="A137" s="6" t="s">
        <v>495</v>
      </c>
      <c r="B137" t="s">
        <v>170</v>
      </c>
      <c r="C137" t="s">
        <v>163</v>
      </c>
      <c r="D137" t="s">
        <v>408</v>
      </c>
      <c r="E137" t="s">
        <v>22</v>
      </c>
      <c r="G137">
        <v>1700</v>
      </c>
    </row>
    <row r="138" spans="1:7" x14ac:dyDescent="0.25">
      <c r="A138" s="6" t="s">
        <v>496</v>
      </c>
      <c r="B138" t="s">
        <v>171</v>
      </c>
      <c r="C138" t="s">
        <v>163</v>
      </c>
      <c r="D138" t="s">
        <v>408</v>
      </c>
      <c r="E138" t="s">
        <v>22</v>
      </c>
      <c r="G138">
        <v>4800</v>
      </c>
    </row>
    <row r="139" spans="1:7" x14ac:dyDescent="0.25">
      <c r="A139" s="6" t="s">
        <v>497</v>
      </c>
      <c r="B139" t="s">
        <v>172</v>
      </c>
      <c r="C139" t="s">
        <v>163</v>
      </c>
      <c r="D139" t="s">
        <v>489</v>
      </c>
      <c r="E139" t="s">
        <v>22</v>
      </c>
      <c r="G139">
        <v>3500</v>
      </c>
    </row>
    <row r="140" spans="1:7" x14ac:dyDescent="0.25">
      <c r="A140" s="6" t="s">
        <v>498</v>
      </c>
      <c r="B140" t="s">
        <v>173</v>
      </c>
      <c r="C140" t="s">
        <v>163</v>
      </c>
      <c r="D140" t="s">
        <v>489</v>
      </c>
      <c r="E140" t="s">
        <v>22</v>
      </c>
      <c r="G140">
        <v>4000</v>
      </c>
    </row>
    <row r="141" spans="1:7" x14ac:dyDescent="0.25">
      <c r="A141" s="6" t="s">
        <v>499</v>
      </c>
      <c r="B141" t="s">
        <v>174</v>
      </c>
      <c r="C141" t="s">
        <v>163</v>
      </c>
      <c r="D141" t="s">
        <v>489</v>
      </c>
      <c r="E141" t="s">
        <v>22</v>
      </c>
      <c r="G141">
        <v>5000</v>
      </c>
    </row>
    <row r="142" spans="1:7" x14ac:dyDescent="0.25">
      <c r="A142" s="6" t="s">
        <v>500</v>
      </c>
      <c r="B142" t="s">
        <v>175</v>
      </c>
      <c r="C142" t="s">
        <v>176</v>
      </c>
      <c r="D142" t="s">
        <v>501</v>
      </c>
      <c r="E142" t="s">
        <v>22</v>
      </c>
      <c r="G142">
        <v>1500</v>
      </c>
    </row>
    <row r="143" spans="1:7" x14ac:dyDescent="0.25">
      <c r="A143" s="6" t="s">
        <v>502</v>
      </c>
      <c r="B143" t="s">
        <v>177</v>
      </c>
      <c r="C143" t="s">
        <v>176</v>
      </c>
      <c r="D143" t="s">
        <v>501</v>
      </c>
      <c r="E143" t="s">
        <v>22</v>
      </c>
      <c r="G143">
        <v>4150</v>
      </c>
    </row>
    <row r="144" spans="1:7" x14ac:dyDescent="0.25">
      <c r="A144" s="6" t="s">
        <v>503</v>
      </c>
      <c r="B144" t="s">
        <v>178</v>
      </c>
      <c r="C144" t="s">
        <v>176</v>
      </c>
      <c r="D144" t="s">
        <v>504</v>
      </c>
      <c r="E144" t="s">
        <v>22</v>
      </c>
      <c r="G144">
        <v>0</v>
      </c>
    </row>
    <row r="145" spans="1:7" x14ac:dyDescent="0.25">
      <c r="A145" s="6" t="s">
        <v>505</v>
      </c>
      <c r="B145" t="s">
        <v>179</v>
      </c>
      <c r="C145" t="s">
        <v>176</v>
      </c>
      <c r="D145" t="s">
        <v>506</v>
      </c>
      <c r="E145" t="s">
        <v>22</v>
      </c>
      <c r="G145">
        <v>1500</v>
      </c>
    </row>
    <row r="146" spans="1:7" x14ac:dyDescent="0.25">
      <c r="A146" s="6" t="s">
        <v>507</v>
      </c>
      <c r="B146" t="s">
        <v>180</v>
      </c>
      <c r="C146" t="s">
        <v>176</v>
      </c>
      <c r="D146" t="s">
        <v>508</v>
      </c>
      <c r="E146" t="s">
        <v>22</v>
      </c>
      <c r="G146">
        <v>1400</v>
      </c>
    </row>
    <row r="147" spans="1:7" x14ac:dyDescent="0.25">
      <c r="A147" s="6" t="s">
        <v>509</v>
      </c>
      <c r="B147" t="s">
        <v>181</v>
      </c>
      <c r="C147" t="s">
        <v>176</v>
      </c>
      <c r="D147" t="s">
        <v>508</v>
      </c>
      <c r="E147" t="s">
        <v>22</v>
      </c>
      <c r="G147">
        <v>1400</v>
      </c>
    </row>
    <row r="148" spans="1:7" x14ac:dyDescent="0.25">
      <c r="A148" s="6" t="s">
        <v>510</v>
      </c>
      <c r="B148" t="s">
        <v>182</v>
      </c>
      <c r="C148" t="s">
        <v>176</v>
      </c>
      <c r="D148" t="s">
        <v>501</v>
      </c>
      <c r="E148" t="s">
        <v>22</v>
      </c>
      <c r="G148">
        <v>5500</v>
      </c>
    </row>
    <row r="149" spans="1:7" x14ac:dyDescent="0.25">
      <c r="A149" s="6" t="s">
        <v>511</v>
      </c>
      <c r="B149" t="s">
        <v>183</v>
      </c>
      <c r="C149" t="s">
        <v>176</v>
      </c>
      <c r="D149" t="s">
        <v>512</v>
      </c>
      <c r="E149" t="s">
        <v>22</v>
      </c>
      <c r="G149">
        <v>0</v>
      </c>
    </row>
    <row r="150" spans="1:7" x14ac:dyDescent="0.25">
      <c r="A150" s="6" t="s">
        <v>513</v>
      </c>
      <c r="B150" t="s">
        <v>184</v>
      </c>
      <c r="C150" t="s">
        <v>176</v>
      </c>
      <c r="D150" t="s">
        <v>514</v>
      </c>
      <c r="E150" t="s">
        <v>22</v>
      </c>
      <c r="G150">
        <v>0</v>
      </c>
    </row>
    <row r="151" spans="1:7" x14ac:dyDescent="0.25">
      <c r="A151" s="6" t="s">
        <v>515</v>
      </c>
      <c r="B151" t="s">
        <v>185</v>
      </c>
      <c r="C151" t="s">
        <v>176</v>
      </c>
      <c r="D151" t="s">
        <v>516</v>
      </c>
      <c r="E151" t="s">
        <v>22</v>
      </c>
      <c r="G151">
        <v>5000</v>
      </c>
    </row>
    <row r="152" spans="1:7" x14ac:dyDescent="0.25">
      <c r="A152" s="6" t="s">
        <v>517</v>
      </c>
      <c r="B152" t="s">
        <v>186</v>
      </c>
      <c r="C152" t="s">
        <v>176</v>
      </c>
      <c r="D152" t="s">
        <v>516</v>
      </c>
      <c r="E152" t="s">
        <v>22</v>
      </c>
      <c r="G152">
        <v>5800</v>
      </c>
    </row>
    <row r="153" spans="1:7" x14ac:dyDescent="0.25">
      <c r="A153" s="6" t="s">
        <v>518</v>
      </c>
      <c r="B153" t="s">
        <v>187</v>
      </c>
      <c r="C153" t="s">
        <v>176</v>
      </c>
      <c r="D153" t="s">
        <v>516</v>
      </c>
      <c r="E153" t="s">
        <v>22</v>
      </c>
      <c r="G153">
        <v>5800</v>
      </c>
    </row>
    <row r="154" spans="1:7" x14ac:dyDescent="0.25">
      <c r="A154" s="6" t="s">
        <v>519</v>
      </c>
      <c r="B154" t="s">
        <v>188</v>
      </c>
      <c r="C154" t="s">
        <v>176</v>
      </c>
      <c r="D154" t="s">
        <v>354</v>
      </c>
      <c r="E154" t="s">
        <v>22</v>
      </c>
      <c r="G154">
        <v>3300</v>
      </c>
    </row>
    <row r="155" spans="1:7" x14ac:dyDescent="0.25">
      <c r="A155" s="6" t="s">
        <v>520</v>
      </c>
      <c r="B155" t="s">
        <v>189</v>
      </c>
      <c r="C155" t="s">
        <v>176</v>
      </c>
      <c r="D155" t="s">
        <v>521</v>
      </c>
      <c r="E155" t="s">
        <v>22</v>
      </c>
      <c r="G155">
        <v>3800</v>
      </c>
    </row>
    <row r="156" spans="1:7" x14ac:dyDescent="0.25">
      <c r="A156" s="6" t="s">
        <v>522</v>
      </c>
      <c r="B156" t="s">
        <v>190</v>
      </c>
      <c r="C156" t="s">
        <v>176</v>
      </c>
      <c r="D156" t="s">
        <v>354</v>
      </c>
      <c r="E156" t="s">
        <v>22</v>
      </c>
      <c r="G156">
        <v>0</v>
      </c>
    </row>
    <row r="157" spans="1:7" x14ac:dyDescent="0.25">
      <c r="A157" s="6" t="s">
        <v>523</v>
      </c>
      <c r="B157" t="s">
        <v>191</v>
      </c>
      <c r="C157" t="s">
        <v>176</v>
      </c>
      <c r="D157" t="s">
        <v>354</v>
      </c>
      <c r="E157" t="s">
        <v>22</v>
      </c>
      <c r="G157">
        <v>0</v>
      </c>
    </row>
    <row r="158" spans="1:7" x14ac:dyDescent="0.25">
      <c r="A158" s="6" t="s">
        <v>524</v>
      </c>
      <c r="B158" t="s">
        <v>192</v>
      </c>
      <c r="C158" t="s">
        <v>176</v>
      </c>
      <c r="D158" t="s">
        <v>408</v>
      </c>
      <c r="E158" t="s">
        <v>22</v>
      </c>
      <c r="G158">
        <v>2450</v>
      </c>
    </row>
    <row r="159" spans="1:7" x14ac:dyDescent="0.25">
      <c r="A159" s="6" t="s">
        <v>525</v>
      </c>
      <c r="B159" t="s">
        <v>193</v>
      </c>
      <c r="C159" t="s">
        <v>176</v>
      </c>
      <c r="D159" t="s">
        <v>408</v>
      </c>
      <c r="E159" t="s">
        <v>22</v>
      </c>
      <c r="G159">
        <v>1700</v>
      </c>
    </row>
    <row r="160" spans="1:7" x14ac:dyDescent="0.25">
      <c r="A160" s="6" t="s">
        <v>526</v>
      </c>
      <c r="B160" t="s">
        <v>194</v>
      </c>
      <c r="C160" t="s">
        <v>176</v>
      </c>
      <c r="D160" t="s">
        <v>408</v>
      </c>
      <c r="E160" t="s">
        <v>22</v>
      </c>
      <c r="G160">
        <v>1800</v>
      </c>
    </row>
    <row r="161" spans="1:7" x14ac:dyDescent="0.25">
      <c r="A161" s="6" t="s">
        <v>527</v>
      </c>
      <c r="B161" t="s">
        <v>195</v>
      </c>
      <c r="C161" t="s">
        <v>196</v>
      </c>
      <c r="D161" t="s">
        <v>528</v>
      </c>
      <c r="E161" t="s">
        <v>22</v>
      </c>
      <c r="G161">
        <v>1500</v>
      </c>
    </row>
    <row r="162" spans="1:7" x14ac:dyDescent="0.25">
      <c r="A162" s="6" t="s">
        <v>529</v>
      </c>
      <c r="B162" t="s">
        <v>197</v>
      </c>
      <c r="C162" t="s">
        <v>196</v>
      </c>
      <c r="D162" t="s">
        <v>530</v>
      </c>
      <c r="E162" t="s">
        <v>22</v>
      </c>
      <c r="G162">
        <v>2000</v>
      </c>
    </row>
    <row r="163" spans="1:7" x14ac:dyDescent="0.25">
      <c r="A163" s="6" t="s">
        <v>531</v>
      </c>
      <c r="B163" t="s">
        <v>198</v>
      </c>
      <c r="C163" t="s">
        <v>196</v>
      </c>
      <c r="D163" t="s">
        <v>408</v>
      </c>
      <c r="E163" t="s">
        <v>22</v>
      </c>
      <c r="G163">
        <v>3400</v>
      </c>
    </row>
    <row r="164" spans="1:7" x14ac:dyDescent="0.25">
      <c r="A164" s="6" t="s">
        <v>532</v>
      </c>
      <c r="B164" t="s">
        <v>199</v>
      </c>
      <c r="C164" t="s">
        <v>196</v>
      </c>
      <c r="D164" t="s">
        <v>408</v>
      </c>
      <c r="E164" t="s">
        <v>22</v>
      </c>
      <c r="G164">
        <v>3400</v>
      </c>
    </row>
    <row r="165" spans="1:7" x14ac:dyDescent="0.25">
      <c r="A165" s="6" t="s">
        <v>533</v>
      </c>
      <c r="B165" t="s">
        <v>200</v>
      </c>
      <c r="C165" t="s">
        <v>201</v>
      </c>
      <c r="D165" t="s">
        <v>408</v>
      </c>
      <c r="E165" t="s">
        <v>22</v>
      </c>
      <c r="G165">
        <v>5300</v>
      </c>
    </row>
    <row r="166" spans="1:7" x14ac:dyDescent="0.25">
      <c r="A166" s="6" t="s">
        <v>534</v>
      </c>
      <c r="B166" t="s">
        <v>202</v>
      </c>
      <c r="C166" t="s">
        <v>201</v>
      </c>
      <c r="D166" t="s">
        <v>408</v>
      </c>
      <c r="E166" t="s">
        <v>22</v>
      </c>
      <c r="G166">
        <v>9800</v>
      </c>
    </row>
    <row r="167" spans="1:7" x14ac:dyDescent="0.25">
      <c r="A167" s="6" t="s">
        <v>535</v>
      </c>
      <c r="B167" t="s">
        <v>203</v>
      </c>
      <c r="C167" t="s">
        <v>201</v>
      </c>
      <c r="D167" t="s">
        <v>504</v>
      </c>
      <c r="E167" t="s">
        <v>22</v>
      </c>
      <c r="G167">
        <v>4200</v>
      </c>
    </row>
    <row r="168" spans="1:7" x14ac:dyDescent="0.25">
      <c r="A168" s="6" t="s">
        <v>536</v>
      </c>
      <c r="B168" t="s">
        <v>204</v>
      </c>
      <c r="C168" t="s">
        <v>205</v>
      </c>
      <c r="D168" t="s">
        <v>408</v>
      </c>
      <c r="E168" t="s">
        <v>22</v>
      </c>
      <c r="G168">
        <v>5000</v>
      </c>
    </row>
    <row r="169" spans="1:7" x14ac:dyDescent="0.25">
      <c r="A169" s="6" t="s">
        <v>537</v>
      </c>
      <c r="B169" t="s">
        <v>206</v>
      </c>
      <c r="C169" t="s">
        <v>205</v>
      </c>
      <c r="D169" t="s">
        <v>408</v>
      </c>
      <c r="E169" t="s">
        <v>22</v>
      </c>
      <c r="G169">
        <v>5000</v>
      </c>
    </row>
    <row r="170" spans="1:7" x14ac:dyDescent="0.25">
      <c r="A170" s="6" t="s">
        <v>667</v>
      </c>
      <c r="B170" t="s">
        <v>207</v>
      </c>
      <c r="C170" t="s">
        <v>205</v>
      </c>
      <c r="D170" t="s">
        <v>489</v>
      </c>
      <c r="E170" t="s">
        <v>22</v>
      </c>
      <c r="G170">
        <v>7000</v>
      </c>
    </row>
    <row r="171" spans="1:7" x14ac:dyDescent="0.25">
      <c r="A171" s="6" t="s">
        <v>538</v>
      </c>
      <c r="B171" t="s">
        <v>208</v>
      </c>
      <c r="C171" t="s">
        <v>205</v>
      </c>
      <c r="D171" t="s">
        <v>408</v>
      </c>
      <c r="E171" t="s">
        <v>22</v>
      </c>
      <c r="G171">
        <v>6200</v>
      </c>
    </row>
    <row r="172" spans="1:7" x14ac:dyDescent="0.25">
      <c r="A172" s="6" t="s">
        <v>539</v>
      </c>
      <c r="B172" t="s">
        <v>209</v>
      </c>
      <c r="C172" t="s">
        <v>205</v>
      </c>
      <c r="D172" t="s">
        <v>489</v>
      </c>
      <c r="E172" t="s">
        <v>22</v>
      </c>
      <c r="G172">
        <v>5700</v>
      </c>
    </row>
    <row r="173" spans="1:7" x14ac:dyDescent="0.25">
      <c r="A173" s="6" t="s">
        <v>540</v>
      </c>
      <c r="B173" t="s">
        <v>210</v>
      </c>
      <c r="C173" t="s">
        <v>205</v>
      </c>
      <c r="D173" t="s">
        <v>408</v>
      </c>
      <c r="E173" t="s">
        <v>22</v>
      </c>
      <c r="G173">
        <v>0</v>
      </c>
    </row>
    <row r="174" spans="1:7" x14ac:dyDescent="0.25">
      <c r="A174" s="6" t="s">
        <v>541</v>
      </c>
      <c r="B174" t="s">
        <v>211</v>
      </c>
      <c r="C174" t="s">
        <v>212</v>
      </c>
      <c r="D174" t="s">
        <v>354</v>
      </c>
      <c r="E174" t="s">
        <v>22</v>
      </c>
      <c r="G174">
        <v>800</v>
      </c>
    </row>
    <row r="175" spans="1:7" x14ac:dyDescent="0.25">
      <c r="A175" s="6" t="s">
        <v>542</v>
      </c>
      <c r="B175" t="s">
        <v>213</v>
      </c>
      <c r="C175" t="s">
        <v>212</v>
      </c>
      <c r="D175" t="s">
        <v>354</v>
      </c>
      <c r="E175" t="s">
        <v>22</v>
      </c>
      <c r="G175">
        <v>850</v>
      </c>
    </row>
    <row r="176" spans="1:7" x14ac:dyDescent="0.25">
      <c r="A176" s="6" t="s">
        <v>543</v>
      </c>
      <c r="B176" t="s">
        <v>214</v>
      </c>
      <c r="C176" t="s">
        <v>212</v>
      </c>
      <c r="D176" t="s">
        <v>544</v>
      </c>
      <c r="E176" t="s">
        <v>22</v>
      </c>
      <c r="G176">
        <v>8100</v>
      </c>
    </row>
    <row r="177" spans="1:7" x14ac:dyDescent="0.25">
      <c r="A177" s="6" t="s">
        <v>545</v>
      </c>
      <c r="B177" t="s">
        <v>215</v>
      </c>
      <c r="C177" t="s">
        <v>212</v>
      </c>
      <c r="D177" t="s">
        <v>544</v>
      </c>
      <c r="E177" t="s">
        <v>22</v>
      </c>
      <c r="G177">
        <v>8100</v>
      </c>
    </row>
    <row r="178" spans="1:7" x14ac:dyDescent="0.25">
      <c r="A178" s="6" t="s">
        <v>546</v>
      </c>
      <c r="B178" t="s">
        <v>216</v>
      </c>
      <c r="C178" t="s">
        <v>212</v>
      </c>
      <c r="D178" t="s">
        <v>544</v>
      </c>
      <c r="E178" t="s">
        <v>22</v>
      </c>
      <c r="G178">
        <v>4100</v>
      </c>
    </row>
    <row r="179" spans="1:7" x14ac:dyDescent="0.25">
      <c r="A179" s="6" t="s">
        <v>547</v>
      </c>
      <c r="B179" t="s">
        <v>217</v>
      </c>
      <c r="C179" t="s">
        <v>212</v>
      </c>
      <c r="D179" t="s">
        <v>354</v>
      </c>
      <c r="E179" t="s">
        <v>22</v>
      </c>
      <c r="G179">
        <v>850</v>
      </c>
    </row>
    <row r="180" spans="1:7" x14ac:dyDescent="0.25">
      <c r="A180" s="6" t="s">
        <v>548</v>
      </c>
      <c r="B180" t="s">
        <v>218</v>
      </c>
      <c r="C180" t="s">
        <v>212</v>
      </c>
      <c r="D180" t="s">
        <v>354</v>
      </c>
      <c r="E180" t="s">
        <v>22</v>
      </c>
      <c r="G180">
        <v>850</v>
      </c>
    </row>
    <row r="181" spans="1:7" x14ac:dyDescent="0.25">
      <c r="A181" s="6" t="s">
        <v>549</v>
      </c>
      <c r="B181" t="s">
        <v>219</v>
      </c>
      <c r="C181" t="s">
        <v>220</v>
      </c>
      <c r="D181" t="s">
        <v>354</v>
      </c>
      <c r="E181" t="s">
        <v>22</v>
      </c>
      <c r="G181">
        <v>2700</v>
      </c>
    </row>
    <row r="182" spans="1:7" x14ac:dyDescent="0.25">
      <c r="A182" s="6" t="s">
        <v>550</v>
      </c>
      <c r="B182" t="s">
        <v>221</v>
      </c>
      <c r="C182" t="s">
        <v>220</v>
      </c>
      <c r="D182" t="s">
        <v>354</v>
      </c>
      <c r="E182" t="s">
        <v>22</v>
      </c>
      <c r="G182">
        <v>2500</v>
      </c>
    </row>
    <row r="183" spans="1:7" x14ac:dyDescent="0.25">
      <c r="A183" s="6" t="s">
        <v>551</v>
      </c>
      <c r="B183" t="s">
        <v>222</v>
      </c>
      <c r="C183" t="s">
        <v>220</v>
      </c>
      <c r="D183" t="s">
        <v>354</v>
      </c>
      <c r="E183" t="s">
        <v>22</v>
      </c>
      <c r="G183">
        <v>2300</v>
      </c>
    </row>
    <row r="184" spans="1:7" x14ac:dyDescent="0.25">
      <c r="A184" s="6" t="s">
        <v>552</v>
      </c>
      <c r="B184" t="s">
        <v>223</v>
      </c>
      <c r="C184" t="s">
        <v>224</v>
      </c>
      <c r="D184" t="s">
        <v>354</v>
      </c>
      <c r="E184" t="s">
        <v>22</v>
      </c>
      <c r="G184">
        <v>900</v>
      </c>
    </row>
    <row r="185" spans="1:7" x14ac:dyDescent="0.25">
      <c r="A185" s="6" t="s">
        <v>553</v>
      </c>
      <c r="B185" t="s">
        <v>225</v>
      </c>
      <c r="C185" t="s">
        <v>224</v>
      </c>
      <c r="D185" t="s">
        <v>354</v>
      </c>
      <c r="E185" t="s">
        <v>22</v>
      </c>
      <c r="G185">
        <v>1300</v>
      </c>
    </row>
    <row r="186" spans="1:7" x14ac:dyDescent="0.25">
      <c r="A186" s="6" t="s">
        <v>554</v>
      </c>
      <c r="B186" t="s">
        <v>226</v>
      </c>
      <c r="C186" t="s">
        <v>224</v>
      </c>
      <c r="D186" t="s">
        <v>354</v>
      </c>
      <c r="E186" t="s">
        <v>22</v>
      </c>
      <c r="G186">
        <v>1600</v>
      </c>
    </row>
    <row r="187" spans="1:7" x14ac:dyDescent="0.25">
      <c r="A187" s="6" t="s">
        <v>555</v>
      </c>
      <c r="B187" t="s">
        <v>227</v>
      </c>
      <c r="C187" t="s">
        <v>224</v>
      </c>
      <c r="D187" t="s">
        <v>354</v>
      </c>
      <c r="E187" t="s">
        <v>22</v>
      </c>
      <c r="G187">
        <v>3100</v>
      </c>
    </row>
    <row r="188" spans="1:7" x14ac:dyDescent="0.25">
      <c r="A188" s="6" t="s">
        <v>556</v>
      </c>
      <c r="B188" t="s">
        <v>228</v>
      </c>
      <c r="C188" t="s">
        <v>224</v>
      </c>
      <c r="D188" t="s">
        <v>354</v>
      </c>
      <c r="E188" t="s">
        <v>22</v>
      </c>
      <c r="G188">
        <v>3300</v>
      </c>
    </row>
    <row r="189" spans="1:7" x14ac:dyDescent="0.25">
      <c r="A189" s="6" t="s">
        <v>668</v>
      </c>
      <c r="B189" t="s">
        <v>229</v>
      </c>
      <c r="C189" t="s">
        <v>224</v>
      </c>
      <c r="D189" t="s">
        <v>354</v>
      </c>
      <c r="E189" t="s">
        <v>22</v>
      </c>
      <c r="G189">
        <v>4000</v>
      </c>
    </row>
    <row r="190" spans="1:7" x14ac:dyDescent="0.25">
      <c r="A190" s="6" t="s">
        <v>669</v>
      </c>
      <c r="B190" t="s">
        <v>230</v>
      </c>
      <c r="C190" t="s">
        <v>224</v>
      </c>
      <c r="D190" t="s">
        <v>354</v>
      </c>
      <c r="E190" t="s">
        <v>22</v>
      </c>
      <c r="G190">
        <v>5500</v>
      </c>
    </row>
    <row r="191" spans="1:7" x14ac:dyDescent="0.25">
      <c r="A191" s="6" t="s">
        <v>670</v>
      </c>
      <c r="B191" t="s">
        <v>231</v>
      </c>
      <c r="C191" t="s">
        <v>224</v>
      </c>
      <c r="D191" t="s">
        <v>354</v>
      </c>
      <c r="E191" t="s">
        <v>22</v>
      </c>
      <c r="G191">
        <v>8700</v>
      </c>
    </row>
    <row r="192" spans="1:7" x14ac:dyDescent="0.25">
      <c r="A192" s="6" t="s">
        <v>557</v>
      </c>
      <c r="B192" t="s">
        <v>232</v>
      </c>
      <c r="C192" t="s">
        <v>233</v>
      </c>
      <c r="D192" t="s">
        <v>354</v>
      </c>
      <c r="E192" t="s">
        <v>22</v>
      </c>
      <c r="G192">
        <v>1200</v>
      </c>
    </row>
    <row r="193" spans="1:7" x14ac:dyDescent="0.25">
      <c r="A193" s="6" t="s">
        <v>558</v>
      </c>
      <c r="B193" t="s">
        <v>234</v>
      </c>
      <c r="C193" t="s">
        <v>233</v>
      </c>
      <c r="D193" t="s">
        <v>354</v>
      </c>
      <c r="E193" t="s">
        <v>22</v>
      </c>
      <c r="G193">
        <v>1200</v>
      </c>
    </row>
    <row r="194" spans="1:7" x14ac:dyDescent="0.25">
      <c r="A194" s="6" t="s">
        <v>559</v>
      </c>
      <c r="B194" t="s">
        <v>235</v>
      </c>
      <c r="C194" t="s">
        <v>233</v>
      </c>
      <c r="D194" t="s">
        <v>354</v>
      </c>
      <c r="E194" t="s">
        <v>22</v>
      </c>
      <c r="G194">
        <v>1200</v>
      </c>
    </row>
    <row r="195" spans="1:7" x14ac:dyDescent="0.25">
      <c r="A195" s="6" t="s">
        <v>560</v>
      </c>
      <c r="B195" t="s">
        <v>236</v>
      </c>
      <c r="C195" t="s">
        <v>233</v>
      </c>
      <c r="D195" t="s">
        <v>354</v>
      </c>
      <c r="E195" t="s">
        <v>22</v>
      </c>
      <c r="G195">
        <v>1200</v>
      </c>
    </row>
    <row r="196" spans="1:7" x14ac:dyDescent="0.25">
      <c r="A196" s="6" t="s">
        <v>561</v>
      </c>
      <c r="B196" t="s">
        <v>237</v>
      </c>
      <c r="C196" t="s">
        <v>233</v>
      </c>
      <c r="D196" t="s">
        <v>354</v>
      </c>
      <c r="E196" t="s">
        <v>22</v>
      </c>
      <c r="G196">
        <v>1200</v>
      </c>
    </row>
    <row r="197" spans="1:7" x14ac:dyDescent="0.25">
      <c r="A197" s="6" t="s">
        <v>562</v>
      </c>
      <c r="B197" t="s">
        <v>238</v>
      </c>
      <c r="C197" t="s">
        <v>233</v>
      </c>
      <c r="D197" t="s">
        <v>354</v>
      </c>
      <c r="E197" t="s">
        <v>22</v>
      </c>
      <c r="G197">
        <v>1000</v>
      </c>
    </row>
    <row r="198" spans="1:7" x14ac:dyDescent="0.25">
      <c r="A198" s="6" t="s">
        <v>563</v>
      </c>
      <c r="B198" t="s">
        <v>239</v>
      </c>
      <c r="C198" t="s">
        <v>240</v>
      </c>
      <c r="D198" t="s">
        <v>354</v>
      </c>
      <c r="E198" t="s">
        <v>22</v>
      </c>
      <c r="G198">
        <v>1200</v>
      </c>
    </row>
    <row r="199" spans="1:7" x14ac:dyDescent="0.25">
      <c r="A199" s="6" t="s">
        <v>564</v>
      </c>
      <c r="B199" t="s">
        <v>241</v>
      </c>
      <c r="C199" t="s">
        <v>240</v>
      </c>
      <c r="D199" t="s">
        <v>354</v>
      </c>
      <c r="E199" t="s">
        <v>22</v>
      </c>
      <c r="G199">
        <v>3500</v>
      </c>
    </row>
    <row r="200" spans="1:7" x14ac:dyDescent="0.25">
      <c r="A200" s="6" t="s">
        <v>565</v>
      </c>
      <c r="B200" t="s">
        <v>242</v>
      </c>
      <c r="C200" t="s">
        <v>240</v>
      </c>
      <c r="D200" t="s">
        <v>354</v>
      </c>
      <c r="E200" t="s">
        <v>22</v>
      </c>
      <c r="G200">
        <v>2300</v>
      </c>
    </row>
    <row r="201" spans="1:7" x14ac:dyDescent="0.25">
      <c r="A201" s="6" t="s">
        <v>566</v>
      </c>
      <c r="B201" t="s">
        <v>243</v>
      </c>
      <c r="C201" t="s">
        <v>240</v>
      </c>
      <c r="D201" t="s">
        <v>354</v>
      </c>
      <c r="E201" t="s">
        <v>22</v>
      </c>
      <c r="G201">
        <v>1600</v>
      </c>
    </row>
    <row r="202" spans="1:7" x14ac:dyDescent="0.25">
      <c r="A202" s="6" t="s">
        <v>567</v>
      </c>
      <c r="B202" t="s">
        <v>244</v>
      </c>
      <c r="C202" t="s">
        <v>240</v>
      </c>
      <c r="D202" t="s">
        <v>354</v>
      </c>
      <c r="E202" t="s">
        <v>22</v>
      </c>
      <c r="G202">
        <v>4200</v>
      </c>
    </row>
    <row r="203" spans="1:7" x14ac:dyDescent="0.25">
      <c r="A203" s="6" t="s">
        <v>568</v>
      </c>
      <c r="B203" t="s">
        <v>245</v>
      </c>
      <c r="C203" t="s">
        <v>240</v>
      </c>
      <c r="D203" t="s">
        <v>354</v>
      </c>
      <c r="E203" t="s">
        <v>22</v>
      </c>
      <c r="G203">
        <v>2200</v>
      </c>
    </row>
    <row r="204" spans="1:7" x14ac:dyDescent="0.25">
      <c r="A204" s="6" t="s">
        <v>569</v>
      </c>
      <c r="B204" t="s">
        <v>246</v>
      </c>
      <c r="C204" t="s">
        <v>240</v>
      </c>
      <c r="D204" t="s">
        <v>354</v>
      </c>
      <c r="E204" t="s">
        <v>22</v>
      </c>
      <c r="G204">
        <v>3500</v>
      </c>
    </row>
    <row r="205" spans="1:7" x14ac:dyDescent="0.25">
      <c r="A205" s="6" t="s">
        <v>570</v>
      </c>
      <c r="B205" t="s">
        <v>247</v>
      </c>
      <c r="C205" t="s">
        <v>240</v>
      </c>
      <c r="D205" t="s">
        <v>354</v>
      </c>
      <c r="E205" t="s">
        <v>22</v>
      </c>
      <c r="G205">
        <v>4000</v>
      </c>
    </row>
    <row r="206" spans="1:7" x14ac:dyDescent="0.25">
      <c r="A206" s="6" t="s">
        <v>571</v>
      </c>
      <c r="B206" t="s">
        <v>248</v>
      </c>
      <c r="C206" t="s">
        <v>240</v>
      </c>
      <c r="D206" t="s">
        <v>354</v>
      </c>
      <c r="E206" t="s">
        <v>22</v>
      </c>
      <c r="G206">
        <v>5600</v>
      </c>
    </row>
    <row r="207" spans="1:7" x14ac:dyDescent="0.25">
      <c r="A207" s="6" t="s">
        <v>572</v>
      </c>
      <c r="B207" t="s">
        <v>249</v>
      </c>
      <c r="C207" t="s">
        <v>240</v>
      </c>
      <c r="D207" t="s">
        <v>354</v>
      </c>
      <c r="E207" t="s">
        <v>22</v>
      </c>
      <c r="G207">
        <v>7000</v>
      </c>
    </row>
    <row r="208" spans="1:7" x14ac:dyDescent="0.25">
      <c r="A208" s="6" t="s">
        <v>573</v>
      </c>
      <c r="B208" t="s">
        <v>250</v>
      </c>
      <c r="C208" t="s">
        <v>240</v>
      </c>
      <c r="D208" t="s">
        <v>354</v>
      </c>
      <c r="E208" t="s">
        <v>22</v>
      </c>
      <c r="G208">
        <v>9700</v>
      </c>
    </row>
    <row r="209" spans="1:7" x14ac:dyDescent="0.25">
      <c r="A209" s="6" t="s">
        <v>574</v>
      </c>
      <c r="B209" t="s">
        <v>251</v>
      </c>
      <c r="C209" t="s">
        <v>252</v>
      </c>
      <c r="D209" t="s">
        <v>354</v>
      </c>
      <c r="E209" t="s">
        <v>253</v>
      </c>
      <c r="G209">
        <v>6200</v>
      </c>
    </row>
    <row r="210" spans="1:7" x14ac:dyDescent="0.25">
      <c r="A210" s="6" t="s">
        <v>575</v>
      </c>
      <c r="B210" t="s">
        <v>254</v>
      </c>
      <c r="C210" t="s">
        <v>252</v>
      </c>
      <c r="D210" t="s">
        <v>354</v>
      </c>
      <c r="E210" t="s">
        <v>253</v>
      </c>
      <c r="G210">
        <v>5300</v>
      </c>
    </row>
    <row r="211" spans="1:7" x14ac:dyDescent="0.25">
      <c r="A211" s="6" t="s">
        <v>576</v>
      </c>
      <c r="B211" t="s">
        <v>255</v>
      </c>
      <c r="C211" t="s">
        <v>252</v>
      </c>
      <c r="D211" t="s">
        <v>354</v>
      </c>
      <c r="E211" t="s">
        <v>253</v>
      </c>
      <c r="G211">
        <v>6200</v>
      </c>
    </row>
    <row r="212" spans="1:7" x14ac:dyDescent="0.25">
      <c r="A212" s="6" t="s">
        <v>577</v>
      </c>
      <c r="B212" t="s">
        <v>256</v>
      </c>
      <c r="C212" t="s">
        <v>257</v>
      </c>
      <c r="D212" t="s">
        <v>354</v>
      </c>
      <c r="E212" t="s">
        <v>22</v>
      </c>
      <c r="G212">
        <v>1650</v>
      </c>
    </row>
    <row r="213" spans="1:7" x14ac:dyDescent="0.25">
      <c r="A213" s="6" t="s">
        <v>578</v>
      </c>
      <c r="B213" t="s">
        <v>258</v>
      </c>
      <c r="C213" t="s">
        <v>257</v>
      </c>
      <c r="D213" t="s">
        <v>354</v>
      </c>
      <c r="E213" t="s">
        <v>22</v>
      </c>
      <c r="G213">
        <v>1650</v>
      </c>
    </row>
    <row r="214" spans="1:7" x14ac:dyDescent="0.25">
      <c r="A214" s="6" t="s">
        <v>579</v>
      </c>
      <c r="B214" t="s">
        <v>259</v>
      </c>
      <c r="C214" t="s">
        <v>257</v>
      </c>
      <c r="D214" t="s">
        <v>354</v>
      </c>
      <c r="E214" t="s">
        <v>22</v>
      </c>
      <c r="G214">
        <v>1850</v>
      </c>
    </row>
    <row r="215" spans="1:7" x14ac:dyDescent="0.25">
      <c r="A215" s="6" t="s">
        <v>580</v>
      </c>
      <c r="B215" t="s">
        <v>260</v>
      </c>
      <c r="C215" t="s">
        <v>257</v>
      </c>
      <c r="D215" t="s">
        <v>354</v>
      </c>
      <c r="E215" t="s">
        <v>22</v>
      </c>
      <c r="G215">
        <v>1850</v>
      </c>
    </row>
    <row r="216" spans="1:7" x14ac:dyDescent="0.25">
      <c r="A216" s="6" t="s">
        <v>581</v>
      </c>
      <c r="B216" t="s">
        <v>261</v>
      </c>
      <c r="C216" t="s">
        <v>257</v>
      </c>
      <c r="D216" t="s">
        <v>354</v>
      </c>
      <c r="E216" t="s">
        <v>22</v>
      </c>
      <c r="G216">
        <v>2500</v>
      </c>
    </row>
    <row r="217" spans="1:7" x14ac:dyDescent="0.25">
      <c r="A217" s="6" t="s">
        <v>582</v>
      </c>
      <c r="B217" t="s">
        <v>262</v>
      </c>
      <c r="C217" t="s">
        <v>257</v>
      </c>
      <c r="D217" t="s">
        <v>354</v>
      </c>
      <c r="E217" t="s">
        <v>22</v>
      </c>
      <c r="G217">
        <v>2500</v>
      </c>
    </row>
    <row r="218" spans="1:7" x14ac:dyDescent="0.25">
      <c r="A218" s="6" t="s">
        <v>583</v>
      </c>
      <c r="B218" t="s">
        <v>263</v>
      </c>
      <c r="C218" t="s">
        <v>257</v>
      </c>
      <c r="D218" t="s">
        <v>354</v>
      </c>
      <c r="E218" t="s">
        <v>22</v>
      </c>
      <c r="G218">
        <v>3600</v>
      </c>
    </row>
    <row r="219" spans="1:7" x14ac:dyDescent="0.25">
      <c r="A219" s="6" t="s">
        <v>584</v>
      </c>
      <c r="B219" t="s">
        <v>264</v>
      </c>
      <c r="C219" t="s">
        <v>257</v>
      </c>
      <c r="D219" t="s">
        <v>354</v>
      </c>
      <c r="E219" t="s">
        <v>22</v>
      </c>
      <c r="G219">
        <v>3600</v>
      </c>
    </row>
    <row r="220" spans="1:7" x14ac:dyDescent="0.25">
      <c r="A220" s="6" t="s">
        <v>585</v>
      </c>
      <c r="B220" t="s">
        <v>265</v>
      </c>
      <c r="C220" t="s">
        <v>257</v>
      </c>
      <c r="D220" t="s">
        <v>354</v>
      </c>
      <c r="E220" t="s">
        <v>22</v>
      </c>
      <c r="G220">
        <v>5900</v>
      </c>
    </row>
    <row r="221" spans="1:7" x14ac:dyDescent="0.25">
      <c r="A221" s="6" t="s">
        <v>586</v>
      </c>
      <c r="B221" t="s">
        <v>266</v>
      </c>
      <c r="C221" t="s">
        <v>257</v>
      </c>
      <c r="D221" t="s">
        <v>354</v>
      </c>
      <c r="E221" t="s">
        <v>22</v>
      </c>
      <c r="G221">
        <v>4800</v>
      </c>
    </row>
    <row r="222" spans="1:7" x14ac:dyDescent="0.25">
      <c r="A222" s="6" t="s">
        <v>587</v>
      </c>
      <c r="B222" t="s">
        <v>267</v>
      </c>
      <c r="C222" t="s">
        <v>257</v>
      </c>
      <c r="D222" t="s">
        <v>354</v>
      </c>
      <c r="E222" t="s">
        <v>22</v>
      </c>
      <c r="G222">
        <v>4800</v>
      </c>
    </row>
    <row r="223" spans="1:7" x14ac:dyDescent="0.25">
      <c r="A223" s="6" t="s">
        <v>588</v>
      </c>
      <c r="B223" t="s">
        <v>268</v>
      </c>
      <c r="C223" t="s">
        <v>257</v>
      </c>
      <c r="D223" t="s">
        <v>354</v>
      </c>
      <c r="E223" t="s">
        <v>22</v>
      </c>
      <c r="G223">
        <v>5300</v>
      </c>
    </row>
    <row r="224" spans="1:7" x14ac:dyDescent="0.25">
      <c r="A224" s="6" t="s">
        <v>589</v>
      </c>
      <c r="B224" t="s">
        <v>269</v>
      </c>
      <c r="C224" t="s">
        <v>257</v>
      </c>
      <c r="D224" t="s">
        <v>354</v>
      </c>
      <c r="E224" t="s">
        <v>22</v>
      </c>
      <c r="G224">
        <v>5500</v>
      </c>
    </row>
    <row r="225" spans="1:7" x14ac:dyDescent="0.25">
      <c r="A225" s="6" t="s">
        <v>590</v>
      </c>
      <c r="B225" t="s">
        <v>270</v>
      </c>
      <c r="C225" t="s">
        <v>257</v>
      </c>
      <c r="D225" t="s">
        <v>354</v>
      </c>
      <c r="E225" t="s">
        <v>22</v>
      </c>
      <c r="G225">
        <v>5500</v>
      </c>
    </row>
    <row r="226" spans="1:7" x14ac:dyDescent="0.25">
      <c r="A226" s="6" t="s">
        <v>591</v>
      </c>
      <c r="B226" t="s">
        <v>271</v>
      </c>
      <c r="C226" t="s">
        <v>257</v>
      </c>
      <c r="D226" t="s">
        <v>354</v>
      </c>
      <c r="E226" t="s">
        <v>22</v>
      </c>
      <c r="G226">
        <v>5900</v>
      </c>
    </row>
    <row r="227" spans="1:7" x14ac:dyDescent="0.25">
      <c r="A227" s="6" t="s">
        <v>592</v>
      </c>
      <c r="B227" t="s">
        <v>272</v>
      </c>
      <c r="C227" t="s">
        <v>257</v>
      </c>
      <c r="D227" t="s">
        <v>354</v>
      </c>
      <c r="E227" t="s">
        <v>22</v>
      </c>
      <c r="G227">
        <v>6950</v>
      </c>
    </row>
    <row r="228" spans="1:7" x14ac:dyDescent="0.25">
      <c r="A228" s="6" t="s">
        <v>593</v>
      </c>
      <c r="B228" t="s">
        <v>273</v>
      </c>
      <c r="C228" t="s">
        <v>257</v>
      </c>
      <c r="D228" t="s">
        <v>354</v>
      </c>
      <c r="E228" t="s">
        <v>22</v>
      </c>
      <c r="G228">
        <v>6950</v>
      </c>
    </row>
    <row r="229" spans="1:7" x14ac:dyDescent="0.25">
      <c r="A229" s="6" t="s">
        <v>594</v>
      </c>
      <c r="B229" t="s">
        <v>274</v>
      </c>
      <c r="C229" t="s">
        <v>257</v>
      </c>
      <c r="D229" t="s">
        <v>354</v>
      </c>
      <c r="E229" t="s">
        <v>22</v>
      </c>
      <c r="G229">
        <v>9250</v>
      </c>
    </row>
    <row r="230" spans="1:7" x14ac:dyDescent="0.25">
      <c r="A230" s="6" t="s">
        <v>595</v>
      </c>
      <c r="B230" t="s">
        <v>275</v>
      </c>
      <c r="C230" t="s">
        <v>257</v>
      </c>
      <c r="D230" t="s">
        <v>354</v>
      </c>
      <c r="E230" t="s">
        <v>22</v>
      </c>
      <c r="G230">
        <v>9250</v>
      </c>
    </row>
    <row r="231" spans="1:7" x14ac:dyDescent="0.25">
      <c r="A231" s="6" t="s">
        <v>596</v>
      </c>
      <c r="B231" t="s">
        <v>276</v>
      </c>
      <c r="C231" t="s">
        <v>257</v>
      </c>
      <c r="D231" t="s">
        <v>354</v>
      </c>
      <c r="E231" t="s">
        <v>22</v>
      </c>
      <c r="G231">
        <v>12450</v>
      </c>
    </row>
    <row r="232" spans="1:7" x14ac:dyDescent="0.25">
      <c r="A232" s="6" t="s">
        <v>597</v>
      </c>
      <c r="B232" t="s">
        <v>277</v>
      </c>
      <c r="C232" t="s">
        <v>257</v>
      </c>
      <c r="D232" t="s">
        <v>354</v>
      </c>
      <c r="E232" t="s">
        <v>22</v>
      </c>
      <c r="G232">
        <v>12450</v>
      </c>
    </row>
    <row r="233" spans="1:7" x14ac:dyDescent="0.25">
      <c r="A233" s="6" t="s">
        <v>598</v>
      </c>
      <c r="B233" t="s">
        <v>278</v>
      </c>
      <c r="C233" t="s">
        <v>257</v>
      </c>
      <c r="D233" t="s">
        <v>354</v>
      </c>
      <c r="E233" t="s">
        <v>22</v>
      </c>
      <c r="G233">
        <v>15000</v>
      </c>
    </row>
    <row r="234" spans="1:7" x14ac:dyDescent="0.25">
      <c r="A234" s="6" t="s">
        <v>599</v>
      </c>
      <c r="B234" t="s">
        <v>279</v>
      </c>
      <c r="C234" t="s">
        <v>257</v>
      </c>
      <c r="D234" t="s">
        <v>354</v>
      </c>
      <c r="E234" t="s">
        <v>22</v>
      </c>
      <c r="G234">
        <v>15000</v>
      </c>
    </row>
    <row r="235" spans="1:7" x14ac:dyDescent="0.25">
      <c r="A235" s="6" t="s">
        <v>600</v>
      </c>
      <c r="B235" t="s">
        <v>280</v>
      </c>
      <c r="C235" t="s">
        <v>281</v>
      </c>
      <c r="D235" t="s">
        <v>354</v>
      </c>
      <c r="E235" t="s">
        <v>22</v>
      </c>
      <c r="G235">
        <v>1800</v>
      </c>
    </row>
    <row r="236" spans="1:7" x14ac:dyDescent="0.25">
      <c r="A236" s="6" t="s">
        <v>601</v>
      </c>
      <c r="B236" t="s">
        <v>282</v>
      </c>
      <c r="C236" t="s">
        <v>281</v>
      </c>
      <c r="D236" t="s">
        <v>354</v>
      </c>
      <c r="E236" t="s">
        <v>22</v>
      </c>
      <c r="G236">
        <v>1800</v>
      </c>
    </row>
    <row r="237" spans="1:7" x14ac:dyDescent="0.25">
      <c r="A237" s="6" t="s">
        <v>602</v>
      </c>
      <c r="B237" t="s">
        <v>283</v>
      </c>
      <c r="C237" t="s">
        <v>281</v>
      </c>
      <c r="D237" t="s">
        <v>354</v>
      </c>
      <c r="E237" t="s">
        <v>22</v>
      </c>
      <c r="G237">
        <v>2000</v>
      </c>
    </row>
    <row r="238" spans="1:7" x14ac:dyDescent="0.25">
      <c r="A238" s="6" t="s">
        <v>603</v>
      </c>
      <c r="B238" t="s">
        <v>284</v>
      </c>
      <c r="C238" t="s">
        <v>281</v>
      </c>
      <c r="D238" t="s">
        <v>354</v>
      </c>
      <c r="E238" t="s">
        <v>22</v>
      </c>
      <c r="G238">
        <v>2200</v>
      </c>
    </row>
    <row r="239" spans="1:7" x14ac:dyDescent="0.25">
      <c r="A239" s="6" t="s">
        <v>604</v>
      </c>
      <c r="B239" t="s">
        <v>285</v>
      </c>
      <c r="C239" t="s">
        <v>281</v>
      </c>
      <c r="D239" t="s">
        <v>354</v>
      </c>
      <c r="E239" t="s">
        <v>22</v>
      </c>
      <c r="G239">
        <v>2400</v>
      </c>
    </row>
    <row r="240" spans="1:7" x14ac:dyDescent="0.25">
      <c r="A240" s="6" t="s">
        <v>605</v>
      </c>
      <c r="B240" t="s">
        <v>286</v>
      </c>
      <c r="C240" t="s">
        <v>281</v>
      </c>
      <c r="D240" t="s">
        <v>354</v>
      </c>
      <c r="E240" t="s">
        <v>22</v>
      </c>
      <c r="G240">
        <v>2500</v>
      </c>
    </row>
    <row r="241" spans="1:7" x14ac:dyDescent="0.25">
      <c r="A241" s="6" t="s">
        <v>606</v>
      </c>
      <c r="B241" t="s">
        <v>287</v>
      </c>
      <c r="C241" t="s">
        <v>281</v>
      </c>
      <c r="D241" t="s">
        <v>354</v>
      </c>
      <c r="E241" t="s">
        <v>22</v>
      </c>
      <c r="G241">
        <v>2400</v>
      </c>
    </row>
    <row r="242" spans="1:7" x14ac:dyDescent="0.25">
      <c r="A242" s="6" t="s">
        <v>607</v>
      </c>
      <c r="B242" t="s">
        <v>288</v>
      </c>
      <c r="C242" t="s">
        <v>281</v>
      </c>
      <c r="D242" t="s">
        <v>354</v>
      </c>
      <c r="E242" t="s">
        <v>22</v>
      </c>
      <c r="G242">
        <v>2600</v>
      </c>
    </row>
    <row r="243" spans="1:7" x14ac:dyDescent="0.25">
      <c r="A243" s="6" t="s">
        <v>608</v>
      </c>
      <c r="B243" t="s">
        <v>289</v>
      </c>
      <c r="C243" t="s">
        <v>281</v>
      </c>
      <c r="D243" t="s">
        <v>354</v>
      </c>
      <c r="E243" t="s">
        <v>22</v>
      </c>
      <c r="G243">
        <v>3000</v>
      </c>
    </row>
    <row r="244" spans="1:7" x14ac:dyDescent="0.25">
      <c r="A244" s="6" t="s">
        <v>609</v>
      </c>
      <c r="B244" t="s">
        <v>290</v>
      </c>
      <c r="C244" t="s">
        <v>281</v>
      </c>
      <c r="D244" t="s">
        <v>354</v>
      </c>
      <c r="E244" t="s">
        <v>22</v>
      </c>
      <c r="G244">
        <v>4300</v>
      </c>
    </row>
    <row r="245" spans="1:7" x14ac:dyDescent="0.25">
      <c r="A245" s="6" t="s">
        <v>610</v>
      </c>
      <c r="B245" t="s">
        <v>291</v>
      </c>
      <c r="C245" t="s">
        <v>281</v>
      </c>
      <c r="D245" t="s">
        <v>354</v>
      </c>
      <c r="E245" t="s">
        <v>22</v>
      </c>
      <c r="G245">
        <v>5000</v>
      </c>
    </row>
    <row r="246" spans="1:7" x14ac:dyDescent="0.25">
      <c r="A246" s="6" t="s">
        <v>611</v>
      </c>
      <c r="B246" t="s">
        <v>292</v>
      </c>
      <c r="C246" t="s">
        <v>281</v>
      </c>
      <c r="D246" t="s">
        <v>354</v>
      </c>
      <c r="E246" t="s">
        <v>22</v>
      </c>
      <c r="G246">
        <v>3400</v>
      </c>
    </row>
    <row r="247" spans="1:7" x14ac:dyDescent="0.25">
      <c r="A247" s="6" t="s">
        <v>612</v>
      </c>
      <c r="B247" t="s">
        <v>293</v>
      </c>
      <c r="C247" t="s">
        <v>281</v>
      </c>
      <c r="D247" t="s">
        <v>354</v>
      </c>
      <c r="E247" t="s">
        <v>22</v>
      </c>
      <c r="G247">
        <v>4800</v>
      </c>
    </row>
    <row r="248" spans="1:7" x14ac:dyDescent="0.25">
      <c r="A248" s="6" t="s">
        <v>613</v>
      </c>
      <c r="B248" t="s">
        <v>294</v>
      </c>
      <c r="C248" t="s">
        <v>281</v>
      </c>
      <c r="D248" t="s">
        <v>354</v>
      </c>
      <c r="E248" t="s">
        <v>22</v>
      </c>
      <c r="G248">
        <v>6300</v>
      </c>
    </row>
    <row r="249" spans="1:7" x14ac:dyDescent="0.25">
      <c r="A249" s="6" t="s">
        <v>614</v>
      </c>
      <c r="B249" t="s">
        <v>295</v>
      </c>
      <c r="C249" t="s">
        <v>281</v>
      </c>
      <c r="D249" t="s">
        <v>354</v>
      </c>
      <c r="E249" t="s">
        <v>22</v>
      </c>
      <c r="G249">
        <v>5600</v>
      </c>
    </row>
    <row r="250" spans="1:7" x14ac:dyDescent="0.25">
      <c r="A250" s="6" t="s">
        <v>615</v>
      </c>
      <c r="B250" t="s">
        <v>296</v>
      </c>
      <c r="C250" t="s">
        <v>281</v>
      </c>
      <c r="D250" t="s">
        <v>354</v>
      </c>
      <c r="E250" t="s">
        <v>22</v>
      </c>
      <c r="G250">
        <v>7550</v>
      </c>
    </row>
    <row r="251" spans="1:7" x14ac:dyDescent="0.25">
      <c r="A251" s="6" t="s">
        <v>616</v>
      </c>
      <c r="B251" t="s">
        <v>297</v>
      </c>
      <c r="C251" t="s">
        <v>281</v>
      </c>
      <c r="D251" t="s">
        <v>354</v>
      </c>
      <c r="E251" t="s">
        <v>22</v>
      </c>
      <c r="G251">
        <v>10000</v>
      </c>
    </row>
    <row r="252" spans="1:7" x14ac:dyDescent="0.25">
      <c r="A252" s="6" t="s">
        <v>617</v>
      </c>
      <c r="B252" t="s">
        <v>298</v>
      </c>
      <c r="C252" t="s">
        <v>281</v>
      </c>
      <c r="D252" t="s">
        <v>354</v>
      </c>
      <c r="E252" t="s">
        <v>22</v>
      </c>
      <c r="G252">
        <v>0</v>
      </c>
    </row>
    <row r="253" spans="1:7" x14ac:dyDescent="0.25">
      <c r="A253" s="6" t="s">
        <v>618</v>
      </c>
      <c r="B253" t="s">
        <v>299</v>
      </c>
      <c r="C253" t="s">
        <v>281</v>
      </c>
      <c r="D253" t="s">
        <v>354</v>
      </c>
      <c r="E253" t="s">
        <v>22</v>
      </c>
      <c r="G253">
        <v>7200</v>
      </c>
    </row>
    <row r="254" spans="1:7" x14ac:dyDescent="0.25">
      <c r="A254" s="6" t="s">
        <v>619</v>
      </c>
      <c r="B254" t="s">
        <v>300</v>
      </c>
      <c r="C254" t="s">
        <v>281</v>
      </c>
      <c r="D254" t="s">
        <v>354</v>
      </c>
      <c r="E254" t="s">
        <v>22</v>
      </c>
      <c r="G254">
        <v>8850</v>
      </c>
    </row>
    <row r="255" spans="1:7" x14ac:dyDescent="0.25">
      <c r="A255" s="6" t="s">
        <v>620</v>
      </c>
      <c r="B255" t="s">
        <v>301</v>
      </c>
      <c r="C255" t="s">
        <v>281</v>
      </c>
      <c r="D255" t="s">
        <v>354</v>
      </c>
      <c r="E255" t="s">
        <v>22</v>
      </c>
      <c r="G255">
        <v>10500</v>
      </c>
    </row>
    <row r="256" spans="1:7" x14ac:dyDescent="0.25">
      <c r="A256" s="6" t="s">
        <v>621</v>
      </c>
      <c r="B256" t="s">
        <v>302</v>
      </c>
      <c r="C256" t="s">
        <v>281</v>
      </c>
      <c r="D256" t="s">
        <v>354</v>
      </c>
      <c r="E256" t="s">
        <v>22</v>
      </c>
      <c r="G256">
        <v>12000</v>
      </c>
    </row>
    <row r="257" spans="1:7" x14ac:dyDescent="0.25">
      <c r="A257" s="6" t="s">
        <v>622</v>
      </c>
      <c r="B257" t="s">
        <v>303</v>
      </c>
      <c r="C257" t="s">
        <v>281</v>
      </c>
      <c r="D257" t="s">
        <v>354</v>
      </c>
      <c r="E257" t="s">
        <v>22</v>
      </c>
      <c r="G257">
        <v>10000</v>
      </c>
    </row>
    <row r="258" spans="1:7" x14ac:dyDescent="0.25">
      <c r="A258" s="6" t="s">
        <v>623</v>
      </c>
      <c r="B258" t="s">
        <v>304</v>
      </c>
      <c r="C258" t="s">
        <v>281</v>
      </c>
      <c r="D258" t="s">
        <v>354</v>
      </c>
      <c r="E258" t="s">
        <v>22</v>
      </c>
      <c r="G258">
        <v>13400</v>
      </c>
    </row>
    <row r="259" spans="1:7" x14ac:dyDescent="0.25">
      <c r="A259" s="6" t="s">
        <v>624</v>
      </c>
      <c r="B259" t="s">
        <v>305</v>
      </c>
      <c r="C259" t="s">
        <v>281</v>
      </c>
      <c r="D259" t="s">
        <v>354</v>
      </c>
      <c r="E259" t="s">
        <v>22</v>
      </c>
      <c r="G259">
        <v>0</v>
      </c>
    </row>
    <row r="260" spans="1:7" x14ac:dyDescent="0.25">
      <c r="A260" s="6" t="s">
        <v>625</v>
      </c>
      <c r="B260" t="s">
        <v>306</v>
      </c>
      <c r="C260" t="s">
        <v>281</v>
      </c>
      <c r="D260" t="s">
        <v>354</v>
      </c>
      <c r="E260" t="s">
        <v>22</v>
      </c>
      <c r="G260">
        <v>17000</v>
      </c>
    </row>
    <row r="261" spans="1:7" x14ac:dyDescent="0.25">
      <c r="A261" s="6" t="s">
        <v>626</v>
      </c>
      <c r="B261" t="s">
        <v>307</v>
      </c>
      <c r="C261" t="s">
        <v>281</v>
      </c>
      <c r="D261" t="s">
        <v>354</v>
      </c>
      <c r="E261" t="s">
        <v>22</v>
      </c>
      <c r="G261">
        <v>20500</v>
      </c>
    </row>
    <row r="262" spans="1:7" x14ac:dyDescent="0.25">
      <c r="A262" s="6" t="s">
        <v>627</v>
      </c>
      <c r="B262" t="s">
        <v>308</v>
      </c>
      <c r="C262" t="s">
        <v>281</v>
      </c>
      <c r="D262" t="s">
        <v>354</v>
      </c>
      <c r="E262" t="s">
        <v>22</v>
      </c>
      <c r="G262">
        <v>22100</v>
      </c>
    </row>
    <row r="263" spans="1:7" x14ac:dyDescent="0.25">
      <c r="A263" s="6" t="s">
        <v>628</v>
      </c>
      <c r="B263" t="s">
        <v>309</v>
      </c>
      <c r="C263" t="s">
        <v>281</v>
      </c>
      <c r="D263" t="s">
        <v>354</v>
      </c>
      <c r="E263" t="s">
        <v>22</v>
      </c>
      <c r="G263">
        <v>42900</v>
      </c>
    </row>
    <row r="264" spans="1:7" x14ac:dyDescent="0.25">
      <c r="A264" s="6" t="s">
        <v>629</v>
      </c>
      <c r="B264" t="s">
        <v>310</v>
      </c>
      <c r="C264" t="s">
        <v>311</v>
      </c>
      <c r="D264" t="s">
        <v>354</v>
      </c>
      <c r="E264" t="s">
        <v>22</v>
      </c>
      <c r="G264">
        <v>12000</v>
      </c>
    </row>
    <row r="265" spans="1:7" x14ac:dyDescent="0.25">
      <c r="A265" s="6" t="s">
        <v>630</v>
      </c>
      <c r="B265" t="s">
        <v>312</v>
      </c>
      <c r="C265" t="s">
        <v>311</v>
      </c>
      <c r="D265" t="s">
        <v>354</v>
      </c>
      <c r="E265" t="s">
        <v>22</v>
      </c>
      <c r="G265">
        <v>14000</v>
      </c>
    </row>
    <row r="266" spans="1:7" x14ac:dyDescent="0.25">
      <c r="A266" s="6" t="s">
        <v>631</v>
      </c>
      <c r="B266" t="s">
        <v>313</v>
      </c>
      <c r="C266" t="s">
        <v>155</v>
      </c>
      <c r="D266" t="s">
        <v>354</v>
      </c>
      <c r="E266" t="s">
        <v>22</v>
      </c>
      <c r="G266">
        <v>1500</v>
      </c>
    </row>
    <row r="267" spans="1:7" x14ac:dyDescent="0.25">
      <c r="A267" s="6" t="s">
        <v>632</v>
      </c>
      <c r="B267" t="s">
        <v>314</v>
      </c>
      <c r="C267" t="s">
        <v>315</v>
      </c>
      <c r="D267" t="s">
        <v>633</v>
      </c>
      <c r="E267" t="s">
        <v>22</v>
      </c>
      <c r="G267">
        <v>2700</v>
      </c>
    </row>
    <row r="268" spans="1:7" x14ac:dyDescent="0.25">
      <c r="A268" s="6" t="s">
        <v>634</v>
      </c>
      <c r="B268" t="s">
        <v>316</v>
      </c>
      <c r="C268" t="s">
        <v>315</v>
      </c>
      <c r="D268" t="s">
        <v>635</v>
      </c>
      <c r="E268" t="s">
        <v>22</v>
      </c>
      <c r="G268">
        <v>3500</v>
      </c>
    </row>
    <row r="269" spans="1:7" x14ac:dyDescent="0.25">
      <c r="A269" s="6" t="s">
        <v>636</v>
      </c>
      <c r="B269" t="s">
        <v>317</v>
      </c>
      <c r="C269" t="s">
        <v>318</v>
      </c>
      <c r="D269" t="s">
        <v>635</v>
      </c>
      <c r="E269" t="s">
        <v>22</v>
      </c>
      <c r="G269">
        <v>3900</v>
      </c>
    </row>
    <row r="270" spans="1:7" x14ac:dyDescent="0.25">
      <c r="A270" s="6" t="s">
        <v>637</v>
      </c>
      <c r="B270" t="s">
        <v>319</v>
      </c>
      <c r="C270" t="s">
        <v>320</v>
      </c>
      <c r="D270" t="s">
        <v>354</v>
      </c>
      <c r="E270" t="s">
        <v>253</v>
      </c>
      <c r="G270">
        <v>7000</v>
      </c>
    </row>
    <row r="271" spans="1:7" x14ac:dyDescent="0.25">
      <c r="A271" s="6" t="s">
        <v>638</v>
      </c>
      <c r="B271" t="s">
        <v>321</v>
      </c>
      <c r="C271" t="s">
        <v>320</v>
      </c>
      <c r="D271" t="s">
        <v>354</v>
      </c>
      <c r="E271" t="s">
        <v>253</v>
      </c>
      <c r="G271">
        <v>7000</v>
      </c>
    </row>
    <row r="272" spans="1:7" x14ac:dyDescent="0.25">
      <c r="A272" s="6" t="s">
        <v>639</v>
      </c>
      <c r="B272" t="s">
        <v>322</v>
      </c>
      <c r="C272" t="s">
        <v>320</v>
      </c>
      <c r="D272" t="s">
        <v>354</v>
      </c>
      <c r="E272" t="s">
        <v>253</v>
      </c>
      <c r="G272">
        <v>7000</v>
      </c>
    </row>
    <row r="273" spans="1:7" x14ac:dyDescent="0.25">
      <c r="A273" s="6" t="s">
        <v>640</v>
      </c>
      <c r="B273" t="s">
        <v>323</v>
      </c>
      <c r="C273" t="s">
        <v>320</v>
      </c>
      <c r="D273" t="s">
        <v>354</v>
      </c>
      <c r="E273" t="s">
        <v>253</v>
      </c>
      <c r="G273">
        <v>7000</v>
      </c>
    </row>
    <row r="274" spans="1:7" x14ac:dyDescent="0.25">
      <c r="A274" s="6" t="s">
        <v>641</v>
      </c>
      <c r="B274" t="s">
        <v>324</v>
      </c>
      <c r="C274" t="s">
        <v>320</v>
      </c>
      <c r="D274" t="s">
        <v>354</v>
      </c>
      <c r="E274" t="s">
        <v>253</v>
      </c>
      <c r="G274">
        <v>6200</v>
      </c>
    </row>
    <row r="275" spans="1:7" x14ac:dyDescent="0.25">
      <c r="A275" s="6" t="s">
        <v>642</v>
      </c>
      <c r="B275" t="s">
        <v>325</v>
      </c>
      <c r="C275" t="s">
        <v>320</v>
      </c>
      <c r="D275" t="s">
        <v>354</v>
      </c>
      <c r="E275" t="s">
        <v>253</v>
      </c>
      <c r="G275">
        <v>6200</v>
      </c>
    </row>
    <row r="276" spans="1:7" x14ac:dyDescent="0.25">
      <c r="A276" s="6" t="s">
        <v>643</v>
      </c>
      <c r="B276" t="s">
        <v>326</v>
      </c>
      <c r="C276" t="s">
        <v>320</v>
      </c>
      <c r="D276" t="s">
        <v>354</v>
      </c>
      <c r="E276" t="s">
        <v>253</v>
      </c>
      <c r="G276">
        <v>6200</v>
      </c>
    </row>
    <row r="277" spans="1:7" x14ac:dyDescent="0.25">
      <c r="A277" s="6" t="s">
        <v>644</v>
      </c>
      <c r="B277" t="s">
        <v>327</v>
      </c>
      <c r="C277" t="s">
        <v>320</v>
      </c>
      <c r="D277" t="s">
        <v>354</v>
      </c>
      <c r="E277" t="s">
        <v>253</v>
      </c>
      <c r="G277">
        <v>6200</v>
      </c>
    </row>
    <row r="278" spans="1:7" x14ac:dyDescent="0.25">
      <c r="A278" s="6" t="s">
        <v>645</v>
      </c>
      <c r="B278" t="s">
        <v>328</v>
      </c>
      <c r="C278" t="s">
        <v>320</v>
      </c>
      <c r="D278" t="s">
        <v>354</v>
      </c>
      <c r="E278" t="s">
        <v>253</v>
      </c>
      <c r="G278">
        <v>6200</v>
      </c>
    </row>
    <row r="279" spans="1:7" x14ac:dyDescent="0.25">
      <c r="A279" s="6" t="s">
        <v>646</v>
      </c>
      <c r="B279" t="s">
        <v>329</v>
      </c>
      <c r="C279" t="s">
        <v>320</v>
      </c>
      <c r="D279" t="s">
        <v>354</v>
      </c>
      <c r="E279" t="s">
        <v>253</v>
      </c>
      <c r="G279">
        <v>6200</v>
      </c>
    </row>
    <row r="280" spans="1:7" x14ac:dyDescent="0.25">
      <c r="A280" s="6" t="s">
        <v>647</v>
      </c>
      <c r="B280" t="s">
        <v>330</v>
      </c>
      <c r="C280" t="s">
        <v>320</v>
      </c>
      <c r="D280" t="s">
        <v>354</v>
      </c>
      <c r="E280" t="s">
        <v>253</v>
      </c>
      <c r="G280">
        <v>6200</v>
      </c>
    </row>
    <row r="281" spans="1:7" x14ac:dyDescent="0.25">
      <c r="A281" s="6" t="s">
        <v>648</v>
      </c>
      <c r="B281" t="s">
        <v>331</v>
      </c>
      <c r="C281" t="s">
        <v>320</v>
      </c>
      <c r="D281" t="s">
        <v>354</v>
      </c>
      <c r="E281" t="s">
        <v>253</v>
      </c>
      <c r="G281">
        <v>6200</v>
      </c>
    </row>
    <row r="282" spans="1:7" x14ac:dyDescent="0.25">
      <c r="A282" s="6" t="s">
        <v>649</v>
      </c>
      <c r="B282" t="s">
        <v>332</v>
      </c>
      <c r="C282" t="s">
        <v>333</v>
      </c>
      <c r="D282" t="s">
        <v>354</v>
      </c>
      <c r="E282" t="s">
        <v>22</v>
      </c>
      <c r="G282">
        <v>2500</v>
      </c>
    </row>
    <row r="283" spans="1:7" x14ac:dyDescent="0.25">
      <c r="A283" s="6" t="s">
        <v>650</v>
      </c>
      <c r="B283" t="s">
        <v>334</v>
      </c>
      <c r="C283" t="s">
        <v>333</v>
      </c>
      <c r="D283" t="s">
        <v>354</v>
      </c>
      <c r="E283" t="s">
        <v>22</v>
      </c>
      <c r="G283">
        <v>3800</v>
      </c>
    </row>
    <row r="284" spans="1:7" x14ac:dyDescent="0.25">
      <c r="A284" s="6" t="s">
        <v>651</v>
      </c>
      <c r="B284" t="s">
        <v>335</v>
      </c>
      <c r="C284" t="s">
        <v>333</v>
      </c>
      <c r="D284" t="s">
        <v>354</v>
      </c>
      <c r="E284" t="s">
        <v>22</v>
      </c>
      <c r="G284">
        <v>6000</v>
      </c>
    </row>
    <row r="285" spans="1:7" x14ac:dyDescent="0.25">
      <c r="A285" s="6" t="s">
        <v>652</v>
      </c>
      <c r="B285" t="s">
        <v>336</v>
      </c>
      <c r="C285" t="s">
        <v>333</v>
      </c>
      <c r="D285" t="s">
        <v>354</v>
      </c>
      <c r="E285" t="s">
        <v>22</v>
      </c>
      <c r="G285">
        <v>10000</v>
      </c>
    </row>
    <row r="286" spans="1:7" x14ac:dyDescent="0.25">
      <c r="A286" s="6" t="s">
        <v>653</v>
      </c>
      <c r="B286" t="s">
        <v>337</v>
      </c>
      <c r="C286" t="s">
        <v>333</v>
      </c>
      <c r="D286" t="s">
        <v>354</v>
      </c>
      <c r="E286" t="s">
        <v>22</v>
      </c>
      <c r="G286">
        <v>14000</v>
      </c>
    </row>
    <row r="287" spans="1:7" x14ac:dyDescent="0.25">
      <c r="A287" s="6" t="s">
        <v>654</v>
      </c>
      <c r="B287" t="s">
        <v>338</v>
      </c>
      <c r="C287" t="s">
        <v>339</v>
      </c>
      <c r="D287" t="s">
        <v>354</v>
      </c>
      <c r="E287" t="s">
        <v>22</v>
      </c>
      <c r="G287">
        <v>13000</v>
      </c>
    </row>
    <row r="288" spans="1:7" x14ac:dyDescent="0.25">
      <c r="A288" s="6" t="s">
        <v>655</v>
      </c>
      <c r="B288" t="s">
        <v>340</v>
      </c>
      <c r="C288" t="s">
        <v>339</v>
      </c>
      <c r="D288" t="s">
        <v>354</v>
      </c>
      <c r="E288" t="s">
        <v>22</v>
      </c>
      <c r="G288">
        <v>11000</v>
      </c>
    </row>
    <row r="289" spans="1:7" x14ac:dyDescent="0.25">
      <c r="A289" s="6" t="s">
        <v>656</v>
      </c>
      <c r="B289" t="s">
        <v>341</v>
      </c>
      <c r="C289" t="s">
        <v>339</v>
      </c>
      <c r="D289" t="s">
        <v>354</v>
      </c>
      <c r="E289" t="s">
        <v>22</v>
      </c>
      <c r="G289">
        <v>2000</v>
      </c>
    </row>
    <row r="290" spans="1:7" x14ac:dyDescent="0.25">
      <c r="A290" s="6" t="s">
        <v>657</v>
      </c>
      <c r="B290" t="s">
        <v>342</v>
      </c>
      <c r="C290" t="s">
        <v>339</v>
      </c>
      <c r="D290" t="s">
        <v>354</v>
      </c>
      <c r="E290" t="s">
        <v>22</v>
      </c>
      <c r="G290">
        <v>1200</v>
      </c>
    </row>
    <row r="291" spans="1:7" x14ac:dyDescent="0.25">
      <c r="A291" s="6" t="s">
        <v>658</v>
      </c>
      <c r="B291" t="s">
        <v>343</v>
      </c>
      <c r="C291" t="s">
        <v>339</v>
      </c>
      <c r="D291" t="s">
        <v>354</v>
      </c>
      <c r="E291" t="s">
        <v>22</v>
      </c>
      <c r="G291">
        <v>700</v>
      </c>
    </row>
    <row r="292" spans="1:7" x14ac:dyDescent="0.25">
      <c r="A292" s="6" t="s">
        <v>659</v>
      </c>
      <c r="B292" t="s">
        <v>344</v>
      </c>
      <c r="C292" t="s">
        <v>345</v>
      </c>
      <c r="D292" t="s">
        <v>354</v>
      </c>
      <c r="E292" t="s">
        <v>253</v>
      </c>
      <c r="G292">
        <v>800</v>
      </c>
    </row>
    <row r="293" spans="1:7" x14ac:dyDescent="0.25">
      <c r="A293" s="6" t="s">
        <v>660</v>
      </c>
      <c r="B293" t="s">
        <v>346</v>
      </c>
      <c r="C293" t="s">
        <v>345</v>
      </c>
      <c r="D293" t="s">
        <v>354</v>
      </c>
      <c r="E293" t="s">
        <v>253</v>
      </c>
      <c r="G293">
        <v>5300</v>
      </c>
    </row>
    <row r="294" spans="1:7" x14ac:dyDescent="0.25">
      <c r="A294" s="6" t="s">
        <v>661</v>
      </c>
      <c r="B294" t="s">
        <v>347</v>
      </c>
      <c r="C294" t="s">
        <v>345</v>
      </c>
      <c r="D294" t="s">
        <v>354</v>
      </c>
      <c r="E294" t="s">
        <v>253</v>
      </c>
      <c r="G294">
        <v>5300</v>
      </c>
    </row>
    <row r="295" spans="1:7" x14ac:dyDescent="0.25">
      <c r="A295" s="6" t="s">
        <v>662</v>
      </c>
      <c r="B295" t="s">
        <v>348</v>
      </c>
      <c r="C295" t="s">
        <v>345</v>
      </c>
      <c r="D295" t="s">
        <v>354</v>
      </c>
      <c r="E295" t="s">
        <v>253</v>
      </c>
      <c r="G295">
        <v>5300</v>
      </c>
    </row>
    <row r="296" spans="1:7" x14ac:dyDescent="0.25">
      <c r="A296" s="6" t="s">
        <v>663</v>
      </c>
      <c r="B296" t="s">
        <v>349</v>
      </c>
      <c r="C296" t="s">
        <v>345</v>
      </c>
      <c r="D296" t="s">
        <v>354</v>
      </c>
      <c r="E296" t="s">
        <v>253</v>
      </c>
      <c r="G296">
        <v>5300</v>
      </c>
    </row>
    <row r="297" spans="1:7" x14ac:dyDescent="0.25">
      <c r="A297" s="6" t="s">
        <v>664</v>
      </c>
      <c r="B297" t="s">
        <v>350</v>
      </c>
      <c r="C297" t="s">
        <v>345</v>
      </c>
      <c r="D297" t="s">
        <v>354</v>
      </c>
      <c r="E297" t="s">
        <v>253</v>
      </c>
      <c r="G297">
        <v>5300</v>
      </c>
    </row>
    <row r="298" spans="1:7" x14ac:dyDescent="0.25">
      <c r="A298" s="6" t="s">
        <v>665</v>
      </c>
      <c r="B298" t="s">
        <v>351</v>
      </c>
      <c r="C298" t="s">
        <v>212</v>
      </c>
      <c r="D298" t="s">
        <v>354</v>
      </c>
      <c r="E298" t="s">
        <v>22</v>
      </c>
      <c r="G298">
        <v>0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779C-D807-4C81-B9D2-B79EE6224EB7}">
  <sheetPr codeName="Sheet4"/>
  <dimension ref="A1:G12"/>
  <sheetViews>
    <sheetView workbookViewId="0">
      <selection activeCell="H31" sqref="H31"/>
    </sheetView>
  </sheetViews>
  <sheetFormatPr defaultRowHeight="15" x14ac:dyDescent="0.25"/>
  <cols>
    <col min="1" max="1" width="24.42578125" bestFit="1" customWidth="1"/>
    <col min="2" max="2" width="13.5703125" bestFit="1" customWidth="1"/>
    <col min="3" max="3" width="13.42578125" bestFit="1" customWidth="1"/>
    <col min="4" max="4" width="24.5703125" bestFit="1" customWidth="1"/>
    <col min="5" max="5" width="16.85546875" bestFit="1" customWidth="1"/>
    <col min="6" max="6" width="12.42578125" bestFit="1" customWidth="1"/>
    <col min="7" max="8" width="26" bestFit="1" customWidth="1"/>
  </cols>
  <sheetData>
    <row r="1" spans="1:7" x14ac:dyDescent="0.25">
      <c r="A1" t="s">
        <v>673</v>
      </c>
      <c r="B1" t="s">
        <v>674</v>
      </c>
      <c r="C1" t="s">
        <v>7</v>
      </c>
      <c r="D1" t="s">
        <v>8</v>
      </c>
      <c r="E1" t="s">
        <v>9</v>
      </c>
      <c r="F1" t="s">
        <v>10</v>
      </c>
      <c r="G1" t="s">
        <v>11</v>
      </c>
    </row>
    <row r="2" spans="1:7" x14ac:dyDescent="0.25">
      <c r="A2" t="s">
        <v>675</v>
      </c>
      <c r="B2" t="s">
        <v>676</v>
      </c>
      <c r="C2" t="s">
        <v>675</v>
      </c>
      <c r="D2" t="s">
        <v>675</v>
      </c>
      <c r="E2" t="s">
        <v>675</v>
      </c>
      <c r="F2" t="s">
        <v>675</v>
      </c>
      <c r="G2" t="s">
        <v>675</v>
      </c>
    </row>
    <row r="3" spans="1:7" x14ac:dyDescent="0.25">
      <c r="A3" t="s">
        <v>677</v>
      </c>
      <c r="B3">
        <v>1234788444</v>
      </c>
      <c r="C3" t="s">
        <v>678</v>
      </c>
      <c r="D3" t="s">
        <v>679</v>
      </c>
      <c r="E3" t="s">
        <v>12</v>
      </c>
      <c r="F3">
        <v>3138562603</v>
      </c>
      <c r="G3" t="s">
        <v>680</v>
      </c>
    </row>
    <row r="4" spans="1:7" x14ac:dyDescent="0.25">
      <c r="A4" t="s">
        <v>677</v>
      </c>
      <c r="B4" t="s">
        <v>681</v>
      </c>
      <c r="C4" t="s">
        <v>682</v>
      </c>
      <c r="D4" t="s">
        <v>683</v>
      </c>
      <c r="E4" t="s">
        <v>684</v>
      </c>
      <c r="F4" t="s">
        <v>685</v>
      </c>
      <c r="G4" t="s">
        <v>686</v>
      </c>
    </row>
    <row r="5" spans="1:7" x14ac:dyDescent="0.25">
      <c r="A5" t="s">
        <v>677</v>
      </c>
      <c r="B5" t="s">
        <v>687</v>
      </c>
      <c r="C5" t="s">
        <v>688</v>
      </c>
      <c r="D5" t="s">
        <v>689</v>
      </c>
      <c r="E5" t="s">
        <v>690</v>
      </c>
      <c r="F5" t="s">
        <v>691</v>
      </c>
      <c r="G5" t="s">
        <v>692</v>
      </c>
    </row>
    <row r="6" spans="1:7" x14ac:dyDescent="0.25">
      <c r="A6" t="s">
        <v>677</v>
      </c>
      <c r="B6">
        <v>1453523</v>
      </c>
      <c r="C6" t="s">
        <v>693</v>
      </c>
      <c r="D6" t="s">
        <v>694</v>
      </c>
      <c r="E6" t="s">
        <v>695</v>
      </c>
      <c r="F6">
        <v>432552</v>
      </c>
      <c r="G6" t="s">
        <v>696</v>
      </c>
    </row>
    <row r="7" spans="1:7" x14ac:dyDescent="0.25">
      <c r="A7" t="s">
        <v>677</v>
      </c>
      <c r="B7">
        <v>5425352353</v>
      </c>
      <c r="C7" t="s">
        <v>697</v>
      </c>
      <c r="D7" t="s">
        <v>698</v>
      </c>
      <c r="E7" t="s">
        <v>699</v>
      </c>
      <c r="F7">
        <v>53522332</v>
      </c>
      <c r="G7" t="s">
        <v>700</v>
      </c>
    </row>
    <row r="8" spans="1:7" x14ac:dyDescent="0.25">
      <c r="A8" t="s">
        <v>677</v>
      </c>
      <c r="B8">
        <v>7755443322</v>
      </c>
      <c r="C8" t="s">
        <v>701</v>
      </c>
      <c r="D8" t="s">
        <v>702</v>
      </c>
      <c r="E8" t="s">
        <v>703</v>
      </c>
      <c r="F8">
        <v>978234567</v>
      </c>
      <c r="G8" t="s">
        <v>704</v>
      </c>
    </row>
    <row r="9" spans="1:7" x14ac:dyDescent="0.25">
      <c r="A9" t="s">
        <v>677</v>
      </c>
      <c r="B9">
        <v>45007</v>
      </c>
      <c r="C9" t="s">
        <v>705</v>
      </c>
      <c r="E9" t="s">
        <v>12</v>
      </c>
      <c r="F9">
        <v>12432</v>
      </c>
    </row>
    <row r="10" spans="1:7" x14ac:dyDescent="0.25">
      <c r="A10" t="s">
        <v>706</v>
      </c>
      <c r="B10">
        <v>334555222</v>
      </c>
      <c r="C10" t="s">
        <v>707</v>
      </c>
      <c r="D10" t="s">
        <v>708</v>
      </c>
      <c r="E10" t="s">
        <v>12</v>
      </c>
    </row>
    <row r="11" spans="1:7" x14ac:dyDescent="0.25">
      <c r="A11" t="s">
        <v>677</v>
      </c>
      <c r="B11">
        <v>342564355</v>
      </c>
      <c r="C11" t="s">
        <v>756</v>
      </c>
      <c r="D11" t="s">
        <v>757</v>
      </c>
      <c r="E11" t="s">
        <v>758</v>
      </c>
      <c r="F11">
        <v>54234</v>
      </c>
      <c r="G11" t="s">
        <v>759</v>
      </c>
    </row>
    <row r="12" spans="1:7" x14ac:dyDescent="0.25">
      <c r="A12" t="s">
        <v>677</v>
      </c>
      <c r="B12">
        <v>324232</v>
      </c>
      <c r="C12" t="s">
        <v>760</v>
      </c>
      <c r="D12" t="s">
        <v>761</v>
      </c>
      <c r="E12" t="s">
        <v>762</v>
      </c>
      <c r="F12">
        <v>3423423</v>
      </c>
      <c r="G12" t="s">
        <v>763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5A523-5E6C-4C56-AE96-318F5E79FFE7}">
  <sheetPr codeName="Sheet5"/>
  <dimension ref="A1:L1"/>
  <sheetViews>
    <sheetView workbookViewId="0">
      <selection activeCell="G25" sqref="G25"/>
    </sheetView>
  </sheetViews>
  <sheetFormatPr defaultRowHeight="15" x14ac:dyDescent="0.25"/>
  <cols>
    <col min="1" max="1" width="14.42578125" bestFit="1" customWidth="1"/>
    <col min="2" max="2" width="9" bestFit="1" customWidth="1"/>
    <col min="3" max="3" width="8.42578125" bestFit="1" customWidth="1"/>
    <col min="4" max="4" width="12.5703125" bestFit="1" customWidth="1"/>
    <col min="5" max="5" width="11.28515625" bestFit="1" customWidth="1"/>
    <col min="6" max="6" width="15.7109375" bestFit="1" customWidth="1"/>
    <col min="7" max="7" width="15.140625" bestFit="1" customWidth="1"/>
    <col min="8" max="8" width="12.5703125" bestFit="1" customWidth="1"/>
    <col min="9" max="9" width="18.7109375" bestFit="1" customWidth="1"/>
    <col min="10" max="10" width="14" bestFit="1" customWidth="1"/>
    <col min="11" max="11" width="11.42578125" bestFit="1" customWidth="1"/>
    <col min="12" max="12" width="18.28515625" bestFit="1" customWidth="1"/>
  </cols>
  <sheetData>
    <row r="1" spans="1:12" x14ac:dyDescent="0.25">
      <c r="A1" t="s">
        <v>772</v>
      </c>
      <c r="B1" t="s">
        <v>773</v>
      </c>
      <c r="C1" t="s">
        <v>774</v>
      </c>
      <c r="D1" t="s">
        <v>775</v>
      </c>
      <c r="E1" t="s">
        <v>7</v>
      </c>
      <c r="F1" t="s">
        <v>352</v>
      </c>
      <c r="G1" t="s">
        <v>14</v>
      </c>
      <c r="H1" t="s">
        <v>776</v>
      </c>
      <c r="I1" t="s">
        <v>728</v>
      </c>
      <c r="J1" t="s">
        <v>777</v>
      </c>
      <c r="K1" t="s">
        <v>751</v>
      </c>
      <c r="L1" t="s">
        <v>778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74BD17-43EE-4484-9A5C-671B67D749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CREADOR FACTURA</vt:lpstr>
      <vt:lpstr>FACTURA</vt:lpstr>
      <vt:lpstr>Ticket</vt:lpstr>
      <vt:lpstr>PRODUCTOS DISPONIBLES</vt:lpstr>
      <vt:lpstr>CLIENTES CONSULTA</vt:lpstr>
      <vt:lpstr>VENTAS CONSULTA</vt:lpstr>
      <vt:lpstr>ciudad_creador</vt:lpstr>
      <vt:lpstr>cliente_id</vt:lpstr>
      <vt:lpstr>cliente_nombre</vt:lpstr>
      <vt:lpstr>clienteID_creador</vt:lpstr>
      <vt:lpstr>descuento_creador</vt:lpstr>
      <vt:lpstr>direccion_creador</vt:lpstr>
      <vt:lpstr>doc_Clientes</vt:lpstr>
      <vt:lpstr>email_creador</vt:lpstr>
      <vt:lpstr>F_ciudad</vt:lpstr>
      <vt:lpstr>F_dcto</vt:lpstr>
      <vt:lpstr>F_direccion</vt:lpstr>
      <vt:lpstr>F_email</vt:lpstr>
      <vt:lpstr>F_fechavcto</vt:lpstr>
      <vt:lpstr>F_formapago</vt:lpstr>
      <vt:lpstr>F_hora</vt:lpstr>
      <vt:lpstr>F_iva</vt:lpstr>
      <vt:lpstr>F_mediopago</vt:lpstr>
      <vt:lpstr>F_subtotal</vt:lpstr>
      <vt:lpstr>F_telefono</vt:lpstr>
      <vt:lpstr>F_total</vt:lpstr>
      <vt:lpstr>factura_cliente</vt:lpstr>
      <vt:lpstr>factura_date</vt:lpstr>
      <vt:lpstr>factura_id</vt:lpstr>
      <vt:lpstr>ID_PRODUCTOS</vt:lpstr>
      <vt:lpstr>iva</vt:lpstr>
      <vt:lpstr>nombre_creador</vt:lpstr>
      <vt:lpstr>FACTURA!Print_Area</vt:lpstr>
      <vt:lpstr>Ticket!Print_Area</vt:lpstr>
      <vt:lpstr>subtotal</vt:lpstr>
      <vt:lpstr>T_cliente</vt:lpstr>
      <vt:lpstr>T_dcto</vt:lpstr>
      <vt:lpstr>T_email</vt:lpstr>
      <vt:lpstr>T_fecha</vt:lpstr>
      <vt:lpstr>T_fechavcto</vt:lpstr>
      <vt:lpstr>T_formapago</vt:lpstr>
      <vt:lpstr>T_hora</vt:lpstr>
      <vt:lpstr>T_iva</vt:lpstr>
      <vt:lpstr>T_mediopago</vt:lpstr>
      <vt:lpstr>T_nfactura</vt:lpstr>
      <vt:lpstr>T_nit</vt:lpstr>
      <vt:lpstr>T_otroscargos</vt:lpstr>
      <vt:lpstr>T_subtotal</vt:lpstr>
      <vt:lpstr>T_telefono</vt:lpstr>
      <vt:lpstr>T_total</vt:lpstr>
      <vt:lpstr>telefono_creador</vt:lpstr>
      <vt:lpstr>tk_descripcion</vt:lpstr>
      <vt:lpstr>tk_totaltext</vt:lpstr>
      <vt:lpstr>total</vt:lpstr>
      <vt:lpstr>total_creador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Alexander Camargo</dc:creator>
  <cp:lastModifiedBy>ALEX CE</cp:lastModifiedBy>
  <dcterms:created xsi:type="dcterms:W3CDTF">2015-06-05T18:17:20Z</dcterms:created>
  <dcterms:modified xsi:type="dcterms:W3CDTF">2024-06-19T17:54:42Z</dcterms:modified>
</cp:coreProperties>
</file>