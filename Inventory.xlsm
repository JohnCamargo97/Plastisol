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6.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20EE2AE8-0389-4825-8776-AF5B4D772ADA}" xr6:coauthVersionLast="47" xr6:coauthVersionMax="47" xr10:uidLastSave="{00000000-0000-0000-0000-000000000000}"/>
  <bookViews>
    <workbookView xWindow="0" yWindow="0" windowWidth="14400" windowHeight="15600" activeTab="1" xr2:uid="{00000000-000D-0000-FFFF-FFFF00000000}"/>
  </bookViews>
  <sheets>
    <sheet name="FACTURA" sheetId="11" r:id="rId1"/>
    <sheet name="Ticket" sheetId="14" r:id="rId2"/>
    <sheet name="Ticket BACKUP" sheetId="15" r:id="rId3"/>
    <sheet name="METRICAS DIARIO" sheetId="7" r:id="rId4"/>
    <sheet name="VENTAS DIARIO" sheetId="12" r:id="rId5"/>
    <sheet name="Entradas_INVENTARIO" sheetId="2" r:id="rId6"/>
    <sheet name="Entradas_hist" sheetId="9" r:id="rId7"/>
    <sheet name="Salidas_hist" sheetId="4" r:id="rId8"/>
    <sheet name="historico_movimientos" sheetId="10" r:id="rId9"/>
    <sheet name="INVENTARIO ACTUAL" sheetId="1" r:id="rId10"/>
    <sheet name="DESCRIPCION PRODUCTOS" sheetId="8" r:id="rId11"/>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2">categoria[categoria]</definedName>
    <definedName name="categoria_list" localSheetId="4">categoria[categoria]</definedName>
    <definedName name="categoria_list">categoria[categoria]</definedName>
    <definedName name="ExternalData_1" localSheetId="8" hidden="1">historico_movimientos!$A$1:$K$104</definedName>
    <definedName name="ExternalData_1" localSheetId="9" hidden="1">'INVENTARIO ACTUAL'!$A$1:$D$90</definedName>
    <definedName name="factura_cliente">FACTURA!$G$9</definedName>
    <definedName name="factura_date">FACTURA!$G$7</definedName>
    <definedName name="factura_id">FACTURA!$G$6</definedName>
    <definedName name="factura_ultima">Salidas_hist!$O$1</definedName>
    <definedName name="fecha_inicio">'DESCRIPCION PRODUCTOS'!$E$2</definedName>
    <definedName name="id_product" localSheetId="2">total_leyenda[ID]</definedName>
    <definedName name="id_product" localSheetId="4">total_leyenda[ID]</definedName>
    <definedName name="id_product">total_leyenda[ID]</definedName>
    <definedName name="_xlnm.Print_Area" localSheetId="0">FACTURA!$A$2:$H$62</definedName>
    <definedName name="_xlnm.Print_Area" localSheetId="1">Ticket!$B$3:$G$48</definedName>
    <definedName name="_xlnm.Print_Area" localSheetId="2">'Ticket BACKUP'!$B$3:$G$57</definedName>
    <definedName name="Slicer_categoria">#N/A</definedName>
    <definedName name="Slicer_CATEGORIA1">#N/A</definedName>
    <definedName name="Slicer_fecha">#N/A</definedName>
    <definedName name="Slicer_FECHA1">#N/A</definedName>
    <definedName name="Slicer_id_producto">#N/A</definedName>
    <definedName name="tk_descripcion" localSheetId="2">'Ticket BACKUP'!$B$29</definedName>
    <definedName name="tk_descripcion">Ticket!$B$29</definedName>
    <definedName name="tk_totaltext" localSheetId="2">'Ticket BACKUP'!$B$39</definedName>
    <definedName name="tk_totaltext">Ticket!$B$31</definedName>
  </definedNames>
  <calcPr calcId="191029"/>
  <pivotCaches>
    <pivotCache cacheId="0" r:id="rId12"/>
    <pivotCache cacheId="1" r:id="rId13"/>
    <pivotCache cacheId="2" r:id="rId14"/>
    <pivotCache cacheId="3" r:id="rId15"/>
  </pivotCaches>
  <extLst>
    <ext xmlns:x14="http://schemas.microsoft.com/office/spreadsheetml/2009/9/main" uri="{876F7934-8845-4945-9796-88D515C7AA90}">
      <x14:pivotCaches>
        <pivotCache cacheId="4" r:id="rId16"/>
        <pivotCache cacheId="5" r:id="rId17"/>
        <pivotCache cacheId="6"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8" i="15" l="1"/>
  <c r="J78" i="15" s="1"/>
  <c r="C78" i="15"/>
  <c r="H77" i="15"/>
  <c r="J77" i="15" s="1"/>
  <c r="C77" i="15"/>
  <c r="H76" i="15"/>
  <c r="J76" i="15" s="1"/>
  <c r="C76" i="15"/>
  <c r="H75" i="15"/>
  <c r="J75" i="15" s="1"/>
  <c r="C75" i="15"/>
  <c r="H74" i="15"/>
  <c r="J74" i="15" s="1"/>
  <c r="C74" i="15"/>
  <c r="H73" i="15"/>
  <c r="J73" i="15" s="1"/>
  <c r="C73" i="15"/>
  <c r="H72" i="15"/>
  <c r="J72" i="15" s="1"/>
  <c r="C72" i="15"/>
  <c r="J71" i="15"/>
  <c r="H71" i="15"/>
  <c r="C71" i="15"/>
  <c r="H70" i="15"/>
  <c r="J70" i="15" s="1"/>
  <c r="C70" i="15"/>
  <c r="H69" i="15"/>
  <c r="J69" i="15" s="1"/>
  <c r="C69" i="15"/>
  <c r="H68" i="15"/>
  <c r="J68" i="15" s="1"/>
  <c r="C68" i="15"/>
  <c r="J67" i="15"/>
  <c r="H67" i="15"/>
  <c r="C67" i="15"/>
  <c r="J66" i="15"/>
  <c r="H66" i="15"/>
  <c r="C66" i="15"/>
  <c r="H65" i="15"/>
  <c r="J65" i="15" s="1"/>
  <c r="C65" i="15"/>
  <c r="H64" i="15"/>
  <c r="J64" i="15" s="1"/>
  <c r="C64" i="15"/>
  <c r="J63" i="15"/>
  <c r="G37" i="15" s="1"/>
  <c r="H63" i="15"/>
  <c r="C63" i="15"/>
  <c r="B37" i="15" s="1"/>
  <c r="H62" i="15"/>
  <c r="E35" i="15" s="1"/>
  <c r="C62" i="15"/>
  <c r="H61" i="15"/>
  <c r="E33" i="15" s="1"/>
  <c r="C61" i="15"/>
  <c r="H60" i="15"/>
  <c r="J60" i="15" s="1"/>
  <c r="C60" i="15"/>
  <c r="B31" i="15" s="1"/>
  <c r="B47" i="15"/>
  <c r="B45" i="15"/>
  <c r="B43" i="15"/>
  <c r="B39" i="15"/>
  <c r="E37" i="15"/>
  <c r="B35" i="15"/>
  <c r="B33" i="15"/>
  <c r="C21" i="15"/>
  <c r="C20" i="15"/>
  <c r="C19" i="15"/>
  <c r="M24" i="4"/>
  <c r="M23" i="4"/>
  <c r="M22" i="4"/>
  <c r="M21" i="4"/>
  <c r="M20" i="4"/>
  <c r="M19" i="4"/>
  <c r="M18" i="4"/>
  <c r="M17" i="4"/>
  <c r="C19" i="14"/>
  <c r="B31" i="14"/>
  <c r="C21" i="14"/>
  <c r="B38" i="14"/>
  <c r="B36" i="14"/>
  <c r="B34" i="14"/>
  <c r="C20" i="14"/>
  <c r="H69" i="14"/>
  <c r="J69" i="14" s="1"/>
  <c r="C69" i="14"/>
  <c r="H68" i="14"/>
  <c r="J68" i="14" s="1"/>
  <c r="C68" i="14"/>
  <c r="H67" i="14"/>
  <c r="J67" i="14" s="1"/>
  <c r="C67" i="14"/>
  <c r="H66" i="14"/>
  <c r="J66" i="14" s="1"/>
  <c r="C66" i="14"/>
  <c r="H65" i="14"/>
  <c r="J65" i="14" s="1"/>
  <c r="C65" i="14"/>
  <c r="H64" i="14"/>
  <c r="J64" i="14" s="1"/>
  <c r="C64" i="14"/>
  <c r="H63" i="14"/>
  <c r="J63" i="14" s="1"/>
  <c r="C63" i="14"/>
  <c r="H62" i="14"/>
  <c r="J62" i="14" s="1"/>
  <c r="C62" i="14"/>
  <c r="H61" i="14"/>
  <c r="J61" i="14" s="1"/>
  <c r="C61" i="14"/>
  <c r="H60" i="14"/>
  <c r="J60" i="14" s="1"/>
  <c r="C60" i="14"/>
  <c r="H59" i="14"/>
  <c r="J59" i="14" s="1"/>
  <c r="C59" i="14"/>
  <c r="H58" i="14"/>
  <c r="J58" i="14" s="1"/>
  <c r="C58" i="14"/>
  <c r="H57" i="14"/>
  <c r="J57" i="14" s="1"/>
  <c r="C57" i="14"/>
  <c r="H56" i="14"/>
  <c r="J56" i="14" s="1"/>
  <c r="C56" i="14"/>
  <c r="H55" i="14"/>
  <c r="J55" i="14" s="1"/>
  <c r="C55" i="14"/>
  <c r="H54" i="14"/>
  <c r="J54" i="14" s="1"/>
  <c r="C54" i="14"/>
  <c r="H53" i="14"/>
  <c r="J53" i="14" s="1"/>
  <c r="C53" i="14"/>
  <c r="H52" i="14"/>
  <c r="J52" i="14" s="1"/>
  <c r="C52" i="14"/>
  <c r="H51" i="14"/>
  <c r="J51" i="14" s="1"/>
  <c r="C51" i="14"/>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M16" i="4"/>
  <c r="M15" i="4"/>
  <c r="M14" i="4"/>
  <c r="M13" i="4"/>
  <c r="C15" i="11"/>
  <c r="C16" i="11"/>
  <c r="C17" i="11"/>
  <c r="C18" i="11"/>
  <c r="C19" i="11"/>
  <c r="C20" i="11"/>
  <c r="C21" i="11"/>
  <c r="C22" i="11"/>
  <c r="C23" i="11"/>
  <c r="C24" i="11"/>
  <c r="C25" i="11"/>
  <c r="C26" i="11"/>
  <c r="C27" i="11"/>
  <c r="C28" i="11"/>
  <c r="C29" i="11"/>
  <c r="C30" i="11"/>
  <c r="C31" i="11"/>
  <c r="C32" i="11"/>
  <c r="C33" i="11"/>
  <c r="E15" i="11"/>
  <c r="G15" i="11" s="1"/>
  <c r="E16" i="11"/>
  <c r="G16" i="11" s="1"/>
  <c r="E17" i="11"/>
  <c r="G17" i="11" s="1"/>
  <c r="E18" i="11"/>
  <c r="G18" i="11" s="1"/>
  <c r="E19" i="11"/>
  <c r="G19" i="11" s="1"/>
  <c r="E20" i="11"/>
  <c r="G20" i="11" s="1"/>
  <c r="E21" i="11"/>
  <c r="G21" i="11" s="1"/>
  <c r="E22" i="11"/>
  <c r="G22" i="11" s="1"/>
  <c r="E23" i="11"/>
  <c r="G23" i="11" s="1"/>
  <c r="E24" i="11"/>
  <c r="G24" i="11" s="1"/>
  <c r="E25" i="11"/>
  <c r="G25" i="11" s="1"/>
  <c r="E26" i="11"/>
  <c r="G26" i="11" s="1"/>
  <c r="E27" i="11"/>
  <c r="G27" i="11" s="1"/>
  <c r="E28" i="11"/>
  <c r="G28" i="11" s="1"/>
  <c r="E29" i="11"/>
  <c r="G29" i="11" s="1"/>
  <c r="E30" i="11"/>
  <c r="G30" i="11" s="1"/>
  <c r="E31" i="11"/>
  <c r="G31" i="11" s="1"/>
  <c r="E32" i="11"/>
  <c r="G32" i="11" s="1"/>
  <c r="E33" i="11"/>
  <c r="G33" i="11" s="1"/>
  <c r="M12" i="4"/>
  <c r="M11" i="4"/>
  <c r="F3" i="2"/>
  <c r="F4" i="2"/>
  <c r="F5" i="2"/>
  <c r="F6" i="2"/>
  <c r="F7" i="2"/>
  <c r="F8" i="2"/>
  <c r="F9" i="2"/>
  <c r="F10" i="2"/>
  <c r="F11" i="2"/>
  <c r="F12" i="2"/>
  <c r="F13" i="2"/>
  <c r="F14" i="2"/>
  <c r="F15" i="2"/>
  <c r="F16" i="2"/>
  <c r="F17" i="2"/>
  <c r="F18" i="2"/>
  <c r="F19" i="2"/>
  <c r="M10" i="4"/>
  <c r="M9" i="4"/>
  <c r="O1" i="4"/>
  <c r="G6" i="11" s="1"/>
  <c r="B17" i="14" s="1"/>
  <c r="M2" i="4"/>
  <c r="M3" i="4"/>
  <c r="M4" i="4"/>
  <c r="M5" i="4"/>
  <c r="M6" i="4"/>
  <c r="M7" i="4"/>
  <c r="M8" i="4"/>
  <c r="G7"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E31" i="15" l="1"/>
  <c r="J62" i="15"/>
  <c r="G35" i="15" s="1"/>
  <c r="G31" i="15"/>
  <c r="B17" i="15"/>
  <c r="J61" i="15"/>
  <c r="G33" i="15" s="1"/>
  <c r="J41" i="11"/>
  <c r="G41" i="11" s="1"/>
  <c r="G39" i="11" s="1"/>
  <c r="G37" i="11" s="1"/>
  <c r="J77" i="14"/>
  <c r="J86" i="15" l="1"/>
  <c r="E38" i="14"/>
  <c r="J75" i="14"/>
  <c r="J84" i="15" l="1"/>
  <c r="E45" i="15" s="1"/>
  <c r="E47" i="15"/>
  <c r="J73" i="14"/>
  <c r="E34" i="14" s="1"/>
  <c r="E36" i="14"/>
  <c r="J82" i="15" l="1"/>
  <c r="E43"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<sst xmlns="http://schemas.openxmlformats.org/spreadsheetml/2006/main" count="2268" uniqueCount="557">
  <si>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</si>
  <si>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</si>
  <si>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</si>
  <si>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</si>
  <si>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</si>
  <si>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</si>
  <si>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</si>
  <si>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</si>
  <si>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</si>
  <si>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</si>
  <si>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</si>
  <si>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</si>
  <si>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</si>
  <si>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</si>
  <si>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</si>
  <si>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</si>
  <si>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</si>
  <si>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</si>
  <si>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</si>
  <si>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</si>
  <si>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</si>
  <si>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</si>
  <si>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</si>
  <si>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</si>
  <si>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</si>
  <si>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</si>
  <si>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</si>
  <si>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</si>
  <si>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</si>
  <si>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</si>
  <si>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</si>
  <si>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</si>
  <si>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</si>
  <si>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</si>
  <si>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</si>
  <si>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</si>
  <si>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</si>
  <si>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</si>
  <si>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</si>
  <si>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</si>
  <si>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</si>
  <si>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</si>
  <si>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</si>
  <si>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</si>
  <si>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</si>
  <si>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</si>
  <si>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</si>
  <si>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</si>
  <si>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</si>
  <si>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</si>
  <si>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</si>
  <si>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</si>
  <si>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</si>
  <si>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</si>
  <si>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</si>
  <si>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</si>
  <si>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</si>
  <si>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</si>
  <si>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</si>
  <si>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</si>
  <si>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</si>
  <si>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</si>
  <si>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</si>
  <si>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</si>
  <si>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</si>
  <si>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</si>
  <si>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</si>
  <si>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</si>
  <si>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</si>
  <si>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</si>
  <si>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</si>
  <si>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</si>
  <si>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</si>
  <si>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</si>
  <si>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</si>
  <si>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</si>
  <si>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</si>
  <si>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</si>
  <si>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</si>
  <si>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</si>
  <si>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</si>
  <si>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</si>
  <si>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</si>
  <si>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</si>
  <si>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</si>
  <si>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</si>
  <si>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</si>
  <si>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</si>
  <si>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</si>
  <si>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</si>
  <si>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</si>
  <si>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</si>
  <si>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</si>
  <si>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</si>
  <si>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</si>
  <si>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</si>
  <si>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</si>
  <si>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</si>
  <si>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</si>
  <si>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</si>
  <si>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</si>
  <si>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</si>
  <si>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</si>
  <si>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</si>
  <si>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</si>
  <si>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</si>
  <si>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</si>
  <si>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</si>
  <si>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</si>
  <si>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</si>
  <si>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</si>
  <si>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</si>
  <si>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</si>
  <si>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</si>
  <si>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</si>
  <si>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</si>
  <si>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</si>
  <si>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</si>
  <si>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</si>
  <si>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</si>
  <si>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</si>
  <si>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</si>
  <si>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</si>
  <si>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</si>
  <si>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</si>
  <si>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</si>
  <si>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</si>
  <si>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</si>
  <si>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</si>
  <si>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</si>
  <si>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</si>
  <si>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</si>
  <si>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</si>
  <si>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</si>
  <si>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</si>
  <si>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</si>
  <si>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</si>
  <si>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</si>
  <si>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</si>
  <si>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</si>
  <si>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</si>
  <si>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</si>
  <si>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</si>
  <si>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</si>
  <si>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</si>
  <si>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</si>
  <si>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</si>
  <si>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</si>
  <si>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</si>
  <si>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</si>
  <si>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</si>
  <si>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</si>
  <si>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</si>
  <si>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</si>
  <si>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</si>
  <si>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</si>
  <si>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</si>
  <si>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</si>
  <si>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</si>
  <si>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</si>
  <si>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</si>
  <si>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</si>
  <si>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</si>
  <si>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</si>
  <si>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</si>
  <si>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</si>
  <si>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</si>
  <si>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</si>
  <si>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</si>
  <si>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</si>
  <si>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</si>
  <si>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</si>
  <si>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</si>
  <si>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</si>
  <si>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</si>
  <si>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</si>
  <si>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</si>
  <si>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</si>
  <si>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</si>
  <si>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</si>
  <si>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</si>
  <si>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</si>
  <si>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</si>
  <si>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</si>
  <si>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</si>
  <si>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</si>
  <si>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</si>
  <si>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</si>
  <si>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</si>
  <si>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</si>
  <si>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</si>
  <si>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</si>
  <si>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</si>
  <si>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</si>
  <si>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</si>
  <si>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</si>
  <si>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</si>
  <si>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</si>
  <si>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</si>
  <si>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</si>
  <si>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</si>
  <si>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</si>
  <si>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</si>
  <si>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</si>
  <si>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</si>
  <si>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</si>
  <si>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</si>
  <si>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</si>
  <si>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</si>
  <si>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</si>
  <si>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</si>
  <si>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</si>
  <si>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</si>
  <si>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</si>
  <si>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</si>
  <si>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</si>
  <si>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</si>
  <si>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</si>
  <si>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</si>
  <si>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</si>
  <si>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</si>
  <si>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</si>
  <si>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</si>
  <si>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</si>
  <si>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</si>
  <si>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</si>
  <si>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</si>
  <si>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</si>
  <si>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</si>
  <si>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</si>
  <si>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</si>
  <si>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</si>
  <si>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</si>
  <si>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</si>
  <si>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</si>
  <si>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</si>
  <si>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</si>
  <si>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</si>
  <si>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</si>
  <si>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</si>
  <si>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</si>
  <si>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</si>
  <si>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</si>
  <si>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</si>
  <si>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</si>
  <si>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</si>
  <si>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</si>
  <si>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</si>
  <si>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</si>
  <si>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</si>
  <si>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</si>
  <si>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</si>
  <si>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</si>
  <si>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</si>
  <si>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</si>
  <si>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</si>
  <si>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</si>
  <si>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</si>
  <si>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</si>
  <si>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</si>
  <si>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</si>
  <si>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</si>
  <si>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</si>
  <si>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</si>
  <si>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</si>
  <si>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</si>
  <si>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</si>
  <si>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</si>
  <si>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</si>
  <si>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</si>
  <si>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</si>
  <si>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</si>
  <si>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</si>
  <si>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</si>
  <si>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</si>
  <si>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</si>
  <si>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</si>
  <si>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</si>
  <si>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</si>
  <si>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</si>
  <si>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</si>
  <si>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</si>
  <si>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</si>
  <si>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</si>
  <si>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</si>
  <si>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</si>
  <si>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</si>
  <si>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</si>
  <si>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</si>
  <si>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</si>
  <si>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</si>
  <si>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</si>
  <si>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</si>
  <si>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</si>
  <si>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</si>
  <si>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</si>
  <si>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</si>
  <si>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</si>
  <si>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</si>
  <si>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</si>
  <si>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</si>
  <si>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</si>
  <si>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</si>
  <si>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</si>
  <si>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</si>
  <si>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</si>
  <si>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</si>
  <si>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</si>
  <si>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</si>
  <si>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</si>
  <si>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</si>
  <si>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</si>
  <si>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</si>
  <si>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</si>
  <si>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</si>
  <si>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</si>
  <si>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</si>
  <si>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</si>
  <si>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</si>
  <si>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</si>
  <si>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</si>
  <si>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</si>
  <si>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</si>
  <si>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</si>
  <si>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</si>
  <si>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</si>
  <si>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</si>
  <si>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</si>
  <si>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</si>
  <si>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</si>
  <si>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</si>
  <si>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</si>
  <si>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</si>
  <si>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</si>
  <si>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</si>
  <si>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</si>
  <si>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</si>
  <si>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</si>
  <si>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</si>
  <si>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</si>
  <si>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</si>
  <si>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</si>
  <si>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</si>
  <si>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</si>
  <si>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</si>
  <si>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</si>
  <si>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</si>
  <si>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</si>
  <si>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</si>
  <si>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</si>
  <si>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</si>
  <si>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</si>
  <si>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</si>
  <si>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</si>
  <si>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</si>
  <si>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</si>
  <si>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</si>
  <si>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</si>
  <si>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</si>
  <si>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</si>
  <si>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</si>
  <si>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</si>
  <si>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</si>
  <si>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</si>
  <si>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</si>
  <si>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</si>
  <si>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</si>
  <si>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</si>
  <si>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</si>
  <si>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</si>
  <si>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</si>
  <si>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</si>
  <si>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</si>
  <si>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</si>
  <si>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</si>
  <si>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</si>
  <si>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</si>
  <si>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</si>
  <si>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</si>
  <si>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</si>
  <si>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</si>
  <si>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 xml:space="preserve">Fecha: </t>
  </si>
  <si>
    <t>A nombre de:</t>
  </si>
  <si>
    <t>1</t>
  </si>
  <si>
    <t>2</t>
  </si>
  <si>
    <t>3</t>
  </si>
  <si>
    <t>4</t>
  </si>
  <si>
    <t>5</t>
  </si>
  <si>
    <t>6</t>
  </si>
  <si>
    <t>7</t>
  </si>
  <si>
    <t>INGRESO</t>
  </si>
  <si>
    <t>FACTURA_ID</t>
  </si>
  <si>
    <t>FECHA</t>
  </si>
  <si>
    <t>HORA</t>
  </si>
  <si>
    <t>CLIENTE</t>
  </si>
  <si>
    <t>PRODUCTO_ID</t>
  </si>
  <si>
    <t>Alex Camargo</t>
  </si>
  <si>
    <t>VALOR UNITARIO</t>
  </si>
  <si>
    <t>PLASTISOL</t>
  </si>
  <si>
    <t>Todo lo relacionado con plasticos, precorte - bolsa manila, porta perro, pizza, hamburguesa. Bolsa de basura y otros..</t>
  </si>
  <si>
    <t xml:space="preserve">Telefono: </t>
  </si>
  <si>
    <t xml:space="preserve">Dirección: </t>
  </si>
  <si>
    <t>Cra 26 # 37-10  San Isidro</t>
  </si>
  <si>
    <t xml:space="preserve">Ciudad: </t>
  </si>
  <si>
    <t>Villavicencio/Meta</t>
  </si>
  <si>
    <t>FACTURA DE VENTA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</si>
  <si>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</si>
  <si>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</si>
  <si>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</si>
  <si>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</si>
  <si>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</si>
  <si>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</si>
  <si>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</si>
  <si>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</si>
  <si>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</si>
  <si>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</si>
  <si>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</si>
  <si>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</si>
  <si>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</si>
  <si>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</si>
  <si>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</si>
  <si>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</si>
  <si>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</si>
  <si>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</si>
  <si>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</si>
  <si>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</si>
  <si>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</si>
  <si>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</si>
  <si>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</si>
  <si>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</si>
  <si>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</si>
  <si>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</si>
  <si>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</si>
  <si>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</si>
  <si>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</si>
  <si>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</si>
  <si>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</si>
  <si>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</si>
  <si>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</si>
  <si>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</si>
  <si>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</si>
  <si>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</si>
  <si>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</si>
  <si>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</si>
  <si>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</si>
  <si>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</si>
  <si>
    <t>Efectivo</t>
  </si>
  <si>
    <t>V.U.</t>
  </si>
  <si>
    <t>IMPORTE</t>
  </si>
  <si>
    <t>Column1</t>
  </si>
  <si>
    <t>OTROS CARGOS:</t>
  </si>
  <si>
    <t>DCTO Y CARGOS:</t>
  </si>
  <si>
    <t>Representacion impresa de comprobante electronico</t>
  </si>
  <si>
    <t>*******************************************</t>
  </si>
  <si>
    <t>NIT 123456789</t>
  </si>
  <si>
    <t>---------------------------------------------------------------------</t>
  </si>
  <si>
    <t>CLIENTE:</t>
  </si>
  <si>
    <t>NIT:</t>
  </si>
  <si>
    <t>EMAIL:</t>
  </si>
  <si>
    <t>TELEFONO:</t>
  </si>
  <si>
    <t>FECHA VCTO:</t>
  </si>
  <si>
    <t>FECHA:</t>
  </si>
  <si>
    <t>HORA:</t>
  </si>
  <si>
    <t>MEDIO PAGO:</t>
  </si>
  <si>
    <t>[CANT] DESCRIPCION</t>
  </si>
  <si>
    <t xml:space="preserve">PARAFINADO ROJO ROLLO 100 METROS </t>
  </si>
  <si>
    <t xml:space="preserve">PARAFINADO NEGRO ROLLO 100 METROS </t>
  </si>
  <si>
    <t xml:space="preserve">PARAFINADO BLANCO ROLLO 100 METROS </t>
  </si>
  <si>
    <t xml:space="preserve">PARAFINADO AMARILLO ROLLO 100 METROS </t>
  </si>
  <si>
    <t xml:space="preserve">PARAFINADO AZUL ROLLO 100 METROS </t>
  </si>
  <si>
    <t xml:space="preserve">PARAFINADO VERDE ROLLO 100 METROS </t>
  </si>
  <si>
    <t xml:space="preserve">PARAFINADO DISENIO ROJO ROLLO 100 METROS </t>
  </si>
  <si>
    <t xml:space="preserve">PARAFINADO DISENIO CAFE ROLLO 100 METROS </t>
  </si>
  <si>
    <t xml:space="preserve">PARAFINADO ROJO ROLLO 50 METROS </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</si>
  <si>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</si>
  <si>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</si>
  <si>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</si>
  <si>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</si>
  <si>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</si>
  <si>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</si>
  <si>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</si>
  <si>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</si>
  <si>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</si>
  <si>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</si>
  <si>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</si>
  <si>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</si>
  <si>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</si>
  <si>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</si>
  <si>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</si>
  <si>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 xml:space="preserve">PARAFINADO 30X30 ROJO  </t>
  </si>
  <si>
    <t xml:space="preserve">PARAFINADO 30X30 NEGRO  </t>
  </si>
  <si>
    <t xml:space="preserve">PARAFINADO 30X30 BLANCO  </t>
  </si>
  <si>
    <t xml:space="preserve">PARAFINADO 30X30 AMARILLO  </t>
  </si>
  <si>
    <t>PARAFINADO 30X30 AZUL</t>
  </si>
  <si>
    <t>PARAFINADO 30X30 VERDE</t>
  </si>
  <si>
    <t>PARAFINADO 30X30 DISENIO</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</si>
  <si>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</si>
  <si>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</si>
  <si>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</si>
  <si>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</si>
  <si>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</si>
  <si>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</si>
  <si>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</si>
  <si>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 ROJO</t>
  </si>
  <si>
    <t xml:space="preserve">PARAFINADO 30X30 BIO NEGRO  </t>
  </si>
  <si>
    <t xml:space="preserve">PARAFINADO 30X30 BIO DISENIO  </t>
  </si>
  <si>
    <t>PARAFINADO BOLSILLO ROJO</t>
  </si>
  <si>
    <t>PARAFINADO BOLSILLO ROJO CUADRADOS GRANDES</t>
  </si>
  <si>
    <t>PARAFINADO BOLSILLO NEGRO</t>
  </si>
  <si>
    <t>PARAFINADO BOLSILLO HAMBURGUESA</t>
  </si>
  <si>
    <t>PARAFINADO BOLSILLO NARANJA</t>
  </si>
  <si>
    <t>PAPEL ALUMINIO 7 METROS</t>
  </si>
  <si>
    <t>PAPEL ALUMINIO 16 METROS</t>
  </si>
  <si>
    <t>PAPEL ALUMINIO 40 METROS</t>
  </si>
  <si>
    <t>PAPEL ALUMINIO 100 METROS</t>
  </si>
  <si>
    <t>MEZCLADOR NEGRO</t>
  </si>
  <si>
    <t>PALILLO BAMBOO 25 CM GRUESO</t>
  </si>
  <si>
    <t>PALILLO BAMBOO 30 CM GRUESO</t>
  </si>
  <si>
    <t>PALILLO PEQUENIO</t>
  </si>
  <si>
    <t>PALILLO GRANDE</t>
  </si>
  <si>
    <t>VINIPEL ALIMENTO 50 METROS</t>
  </si>
  <si>
    <t>VINIPEL ALIMENTO 100 METROS</t>
  </si>
  <si>
    <t>VINIPEL ALIMENTO 200 METROS</t>
  </si>
  <si>
    <t>VINIPEL ALIMENTO 300 METROS</t>
  </si>
  <si>
    <t>VINIPEL ALIMENTO 500 METROS</t>
  </si>
  <si>
    <t>VINIPEL STRESS 5X300</t>
  </si>
  <si>
    <t>VINIPEL STRESS 6X300</t>
  </si>
  <si>
    <t>VINIPEL STRESS 6X500</t>
  </si>
  <si>
    <t>VINIPEL STRESS 8X500</t>
  </si>
  <si>
    <t>VINIPEL STRESS 12X300</t>
  </si>
  <si>
    <t>VINIPEL STRESS 12X500</t>
  </si>
  <si>
    <t>VINIPEL STRESS 20X300</t>
  </si>
  <si>
    <t>VINIPEL STRESS 20X500</t>
  </si>
  <si>
    <t>BOLSILLO ALUMINIO L-17</t>
  </si>
  <si>
    <t>BOLSILLO ALUMINIO L-19</t>
  </si>
  <si>
    <t>BOLSILLO ALUMINIO L-21</t>
  </si>
  <si>
    <t>BOLSILLO ALUMINIO L-23</t>
  </si>
  <si>
    <t>BOLSILLO ALUMINIO L-25</t>
  </si>
  <si>
    <t>PORTA PERRO</t>
  </si>
  <si>
    <t>PORTA PIZZA</t>
  </si>
  <si>
    <t>PORTA AREPA</t>
  </si>
  <si>
    <t>PORTA HAMBURGUESA</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</si>
  <si>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</si>
  <si>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</si>
  <si>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</si>
  <si>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</si>
  <si>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</si>
  <si>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</si>
  <si>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</si>
  <si>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</si>
  <si>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</si>
  <si>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</si>
  <si>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</si>
  <si>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</si>
  <si>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FACTURA DE VENTA ELECTRONICA</t>
  </si>
  <si>
    <t>Column2</t>
  </si>
  <si>
    <t>Column3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</si>
</sst>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43" formatCode="_(* #,##0.00_);_(* \(#,##0.00\);_(*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 numFmtId="172" formatCode="h:mm:ss;@"/>
  </numFmts>
  <fonts count="30"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20"/>
      <color rgb="FF303C10"/>
      <name val="Century Gothic"/>
      <family val="2"/>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
      <b/>
      <sz val="11"/>
      <color theme="1" tint="0.34998626667073579"/>
      <name val="Calibri"/>
      <family val="2"/>
      <scheme val="minor"/>
    </font>
    <font>
      <sz val="22"/>
      <color rgb="FF303C10"/>
      <name val="Century Gothic"/>
      <family val="2"/>
    </font>
    <font>
      <i/>
      <sz val="10"/>
      <color theme="1" tint="0.34998626667073579"/>
      <name val="Consolas"/>
      <family val="3"/>
    </font>
    <font>
      <i/>
      <sz val="11"/>
      <color theme="1" tint="0.34998626667073579"/>
      <name val="Calibri"/>
      <family val="2"/>
      <scheme val="minor"/>
    </font>
    <font>
      <b/>
      <sz val="12"/>
      <color theme="1" tint="0.34998626667073579"/>
      <name val="Calibri"/>
      <family val="2"/>
      <scheme val="minor"/>
    </font>
    <font>
      <b/>
      <i/>
      <sz val="11"/>
      <color theme="1" tint="0.34998626667073579"/>
      <name val="Calibri"/>
      <family val="2"/>
      <scheme val="minor"/>
    </font>
    <font>
      <b/>
      <sz val="14"/>
      <color theme="1" tint="0.34998626667073579"/>
      <name val="Calibri"/>
      <family val="2"/>
      <scheme val="minor"/>
    </font>
    <font>
      <i/>
      <sz val="12"/>
      <color theme="1" tint="0.34998626667073579"/>
      <name val="Calibri"/>
      <family val="2"/>
      <scheme val="minor"/>
    </font>
    <font>
      <sz val="12"/>
      <color theme="0" tint="-0.499984740745262"/>
      <name val="Calibri"/>
      <family val="2"/>
      <scheme val="minor"/>
    </font>
    <font>
      <b/>
      <i/>
      <sz val="14"/>
      <color theme="1" tint="0.34998626667073579"/>
      <name val="Calibri"/>
      <family val="2"/>
      <scheme val="minor"/>
    </font>
    <font>
      <sz val="14"/>
      <color theme="1" tint="0.34998626667073579"/>
      <name val="Calibri"/>
      <family val="2"/>
      <scheme val="minor"/>
    </font>
    <font>
      <sz val="14"/>
      <color theme="1"/>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7">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
      <left/>
      <right/>
      <top/>
      <bottom style="medium">
        <color indexed="64"/>
      </bottom>
      <diagonal/>
    </border>
  </borders>
  <cellStyleXfs count="2">
    <xf numFmtId="0" fontId="0" fillId="0" borderId="0"/>
    <xf numFmtId="44" fontId="8" fillId="0" borderId="0" applyFont="0" applyFill="0" applyBorder="0" applyAlignment="0" applyProtection="0"/>
  </cellStyleXfs>
  <cellXfs count="120">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0" fontId="4" fillId="4" borderId="0" xfId="0" applyFont="1" applyFill="1" applyAlignment="1">
      <alignment vertical="center"/>
    </xf>
    <xf numFmtId="18" fontId="2" fillId="2" borderId="0" xfId="0" applyNumberFormat="1" applyFont="1" applyFill="1"/>
    <xf numFmtId="2" fontId="6" fillId="0" borderId="0" xfId="0" applyNumberFormat="1" applyFont="1"/>
    <xf numFmtId="0" fontId="11" fillId="0" borderId="0" xfId="0" applyFont="1"/>
    <xf numFmtId="0" fontId="10" fillId="0" borderId="0" xfId="0" applyFont="1" applyAlignment="1">
      <alignment horizontal="left" vertical="top" wrapText="1"/>
    </xf>
    <xf numFmtId="164" fontId="12" fillId="0" borderId="0" xfId="0" applyNumberFormat="1" applyFont="1" applyAlignment="1">
      <alignment horizontal="right"/>
    </xf>
    <xf numFmtId="0" fontId="12" fillId="0" borderId="0" xfId="0" applyFont="1" applyAlignment="1">
      <alignment horizontal="left"/>
    </xf>
    <xf numFmtId="0" fontId="12" fillId="0" borderId="0" xfId="0" applyFont="1" applyAlignment="1">
      <alignment horizontal="right"/>
    </xf>
    <xf numFmtId="0" fontId="13" fillId="0" borderId="0" xfId="0" applyFont="1" applyAlignment="1">
      <alignment horizontal="left"/>
    </xf>
    <xf numFmtId="0" fontId="13" fillId="0" borderId="0" xfId="0" applyFont="1" applyAlignment="1">
      <alignment horizontal="right"/>
    </xf>
    <xf numFmtId="0" fontId="12" fillId="0" borderId="5" xfId="0" applyFont="1" applyBorder="1" applyAlignment="1">
      <alignment horizontal="right"/>
    </xf>
    <xf numFmtId="0" fontId="12" fillId="0" borderId="6" xfId="0" applyFont="1" applyBorder="1" applyAlignment="1">
      <alignment horizontal="right"/>
    </xf>
    <xf numFmtId="0" fontId="13" fillId="0" borderId="6" xfId="0" applyFont="1" applyBorder="1" applyAlignment="1">
      <alignment horizontal="right"/>
    </xf>
    <xf numFmtId="0" fontId="13" fillId="0" borderId="7" xfId="0" applyFont="1" applyBorder="1" applyAlignment="1">
      <alignment horizontal="right"/>
    </xf>
    <xf numFmtId="0" fontId="12" fillId="0" borderId="5" xfId="0" applyFont="1" applyBorder="1" applyAlignment="1">
      <alignment horizontal="left"/>
    </xf>
    <xf numFmtId="0" fontId="13" fillId="0" borderId="5" xfId="0" applyFont="1" applyBorder="1" applyAlignment="1">
      <alignment horizontal="left"/>
    </xf>
    <xf numFmtId="0" fontId="7" fillId="0" borderId="0" xfId="0" applyFont="1" applyAlignment="1">
      <alignment horizontal="right" vertical="center"/>
    </xf>
    <xf numFmtId="0" fontId="7" fillId="0" borderId="0" xfId="0" applyFont="1" applyAlignment="1">
      <alignment horizontal="center" vertical="center"/>
    </xf>
    <xf numFmtId="0" fontId="14" fillId="0" borderId="0" xfId="0" applyFont="1" applyAlignment="1">
      <alignment horizontal="center"/>
    </xf>
    <xf numFmtId="0" fontId="14" fillId="0" borderId="4" xfId="0" applyFont="1" applyBorder="1" applyAlignment="1">
      <alignment horizontal="center"/>
    </xf>
    <xf numFmtId="44" fontId="6" fillId="0" borderId="0" xfId="1" applyFont="1"/>
    <xf numFmtId="169" fontId="6" fillId="0" borderId="0" xfId="1" applyNumberFormat="1" applyFont="1"/>
    <xf numFmtId="0" fontId="15" fillId="0" borderId="15" xfId="0" applyFont="1" applyBorder="1"/>
    <xf numFmtId="44" fontId="15" fillId="0" borderId="15" xfId="1" applyFont="1" applyBorder="1"/>
    <xf numFmtId="2" fontId="15" fillId="0" borderId="15" xfId="0" applyNumberFormat="1" applyFont="1" applyBorder="1"/>
    <xf numFmtId="169" fontId="15" fillId="0" borderId="15"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6" fillId="0" borderId="0" xfId="0" applyFont="1"/>
    <xf numFmtId="0" fontId="0" fillId="0" borderId="0" xfId="0" applyAlignment="1">
      <alignment horizontal="left" indent="2"/>
    </xf>
    <xf numFmtId="0" fontId="17" fillId="0" borderId="0" xfId="0" pivotButton="1" applyFont="1"/>
    <xf numFmtId="0" fontId="17" fillId="0" borderId="0" xfId="0" applyFont="1"/>
    <xf numFmtId="0" fontId="0" fillId="0" borderId="0" xfId="0" applyAlignment="1">
      <alignment horizontal="center"/>
    </xf>
    <xf numFmtId="0" fontId="0" fillId="0" borderId="0" xfId="0" quotePrefix="1" applyAlignment="1">
      <alignment horizontal="center"/>
    </xf>
    <xf numFmtId="0" fontId="18" fillId="0" borderId="16" xfId="0" applyFont="1" applyBorder="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171" fontId="21" fillId="0" borderId="0" xfId="0" applyNumberFormat="1" applyFont="1" applyAlignment="1">
      <alignment horizontal="right"/>
    </xf>
    <xf numFmtId="0" fontId="18" fillId="0" borderId="0" xfId="0" applyFont="1" applyAlignment="1">
      <alignment horizontal="center"/>
    </xf>
    <xf numFmtId="0" fontId="23" fillId="0" borderId="0" xfId="0" applyFont="1" applyAlignment="1">
      <alignment horizontal="right"/>
    </xf>
    <xf numFmtId="0" fontId="22" fillId="0" borderId="0" xfId="0" applyFont="1" applyAlignment="1">
      <alignment horizontal="left"/>
    </xf>
    <xf numFmtId="0" fontId="18" fillId="0" borderId="16" xfId="0" applyFont="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center" vertical="center"/>
    </xf>
    <xf numFmtId="0" fontId="14" fillId="0" borderId="0" xfId="0" applyFont="1" applyAlignment="1">
      <alignment horizontal="left" vertical="top"/>
    </xf>
    <xf numFmtId="43" fontId="14" fillId="0" borderId="0" xfId="0" applyNumberFormat="1" applyFont="1" applyAlignment="1">
      <alignment horizontal="right" vertical="top"/>
    </xf>
    <xf numFmtId="0" fontId="27" fillId="0" borderId="0" xfId="0" applyFont="1" applyAlignment="1">
      <alignment horizontal="right"/>
    </xf>
    <xf numFmtId="0" fontId="14" fillId="0" borderId="0" xfId="0" applyFont="1" applyAlignment="1">
      <alignment horizontal="left" vertical="top" wrapText="1"/>
    </xf>
    <xf numFmtId="0" fontId="18" fillId="0" borderId="16" xfId="0" applyFont="1" applyBorder="1" applyAlignment="1">
      <alignment vertical="center"/>
    </xf>
    <xf numFmtId="0" fontId="13" fillId="0" borderId="0" xfId="0" applyFont="1" applyAlignment="1">
      <alignment horizontal="left" vertical="top" wrapText="1"/>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0" fontId="7" fillId="0" borderId="11" xfId="0" applyFont="1" applyBorder="1" applyAlignment="1">
      <alignment horizontal="right" vertical="center"/>
    </xf>
    <xf numFmtId="0" fontId="4" fillId="4" borderId="0" xfId="0" applyFont="1" applyFill="1" applyAlignment="1">
      <alignment horizontal="left"/>
    </xf>
    <xf numFmtId="0" fontId="9" fillId="4" borderId="0" xfId="0" applyFont="1" applyFill="1" applyAlignment="1">
      <alignment horizontal="right"/>
    </xf>
    <xf numFmtId="0" fontId="7" fillId="0" borderId="8" xfId="0" applyFont="1" applyBorder="1" applyAlignment="1">
      <alignment horizontal="center" vertical="center"/>
    </xf>
    <xf numFmtId="0" fontId="7" fillId="0" borderId="14"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4" xfId="0" applyFont="1" applyBorder="1" applyAlignment="1">
      <alignment horizontal="center" vertical="center"/>
    </xf>
    <xf numFmtId="0" fontId="7" fillId="0" borderId="11" xfId="0" applyFont="1" applyBorder="1" applyAlignment="1">
      <alignment horizontal="center" vertical="center"/>
    </xf>
    <xf numFmtId="0" fontId="10" fillId="0" borderId="0" xfId="0" applyFont="1" applyAlignment="1">
      <alignment horizontal="center" wrapText="1"/>
    </xf>
    <xf numFmtId="169" fontId="7" fillId="0" borderId="12" xfId="0" applyNumberFormat="1" applyFont="1" applyBorder="1" applyAlignment="1">
      <alignment horizontal="center" vertical="center"/>
    </xf>
    <xf numFmtId="169" fontId="7" fillId="0" borderId="13" xfId="0" applyNumberFormat="1" applyFont="1" applyBorder="1" applyAlignment="1">
      <alignment horizontal="center" vertical="center"/>
    </xf>
    <xf numFmtId="171" fontId="7" fillId="0" borderId="12" xfId="0" applyNumberFormat="1" applyFont="1" applyBorder="1" applyAlignment="1">
      <alignment horizontal="center" vertical="center"/>
    </xf>
    <xf numFmtId="171" fontId="7" fillId="0" borderId="13" xfId="0" applyNumberFormat="1" applyFont="1" applyBorder="1" applyAlignment="1">
      <alignment horizontal="center" vertical="center"/>
    </xf>
    <xf numFmtId="0" fontId="0" fillId="0" borderId="0" xfId="0" applyAlignment="1">
      <alignment horizontal="center"/>
    </xf>
    <xf numFmtId="0" fontId="27" fillId="0" borderId="0" xfId="0" applyFont="1" applyAlignment="1">
      <alignment horizontal="right"/>
    </xf>
    <xf numFmtId="169" fontId="28" fillId="0" borderId="0" xfId="0" applyNumberFormat="1" applyFont="1" applyAlignment="1">
      <alignment horizontal="center"/>
    </xf>
    <xf numFmtId="0" fontId="29" fillId="0" borderId="0" xfId="0" applyFont="1" applyAlignment="1">
      <alignment horizontal="center"/>
    </xf>
    <xf numFmtId="171" fontId="28" fillId="0" borderId="0" xfId="0" applyNumberFormat="1" applyFont="1" applyAlignment="1">
      <alignment horizontal="center"/>
    </xf>
    <xf numFmtId="0" fontId="0" fillId="0" borderId="0" xfId="0" quotePrefix="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wrapText="1"/>
    </xf>
    <xf numFmtId="164" fontId="14" fillId="0" borderId="0" xfId="0" applyNumberFormat="1" applyFont="1" applyAlignment="1">
      <alignment horizontal="left" vertical="center"/>
    </xf>
    <xf numFmtId="172" fontId="14" fillId="0" borderId="0" xfId="0" applyNumberFormat="1" applyFont="1" applyAlignment="1">
      <alignment horizontal="left"/>
    </xf>
    <xf numFmtId="0" fontId="14" fillId="0" borderId="0" xfId="0" applyFont="1" applyAlignment="1">
      <alignment horizontal="left"/>
    </xf>
    <xf numFmtId="0" fontId="24" fillId="0" borderId="0" xfId="0" applyFont="1" applyAlignment="1">
      <alignment horizontal="center" vertical="top" wrapText="1"/>
    </xf>
    <xf numFmtId="0" fontId="14" fillId="0" borderId="0" xfId="0" applyFont="1" applyAlignment="1">
      <alignment horizontal="left" vertical="top" wrapText="1"/>
    </xf>
    <xf numFmtId="0" fontId="24" fillId="0" borderId="0" xfId="0" applyFont="1" applyAlignment="1">
      <alignment horizontal="center"/>
    </xf>
    <xf numFmtId="0" fontId="25" fillId="0" borderId="0" xfId="0" applyFont="1" applyAlignment="1">
      <alignment horizontal="center"/>
    </xf>
    <xf numFmtId="0" fontId="20" fillId="0" borderId="0" xfId="0" applyFont="1" applyAlignment="1">
      <alignment horizontal="center" vertical="top" wrapText="1"/>
    </xf>
    <xf numFmtId="0" fontId="19" fillId="4" borderId="0" xfId="0" applyFont="1" applyFill="1" applyAlignment="1">
      <alignment horizontal="center" vertical="center"/>
    </xf>
    <xf numFmtId="0" fontId="14" fillId="0" borderId="0" xfId="0" applyFont="1" applyAlignment="1">
      <alignment horizontal="center"/>
    </xf>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xf numFmtId="0" fontId="14" fillId="0" borderId="0" xfId="0" applyFont="1" applyBorder="1" applyAlignment="1">
      <alignment horizontal="left" vertical="top" wrapText="1"/>
    </xf>
    <xf numFmtId="0" fontId="14" fillId="0" borderId="0" xfId="0" applyFont="1" applyBorder="1" applyAlignment="1">
      <alignment horizontal="center"/>
    </xf>
    <xf numFmtId="0" fontId="18" fillId="0" borderId="16" xfId="0" applyFont="1" applyBorder="1" applyAlignment="1">
      <alignment horizontal="right" vertical="center"/>
    </xf>
  </cellXfs>
  <cellStyles count="2">
    <cellStyle name="Currency" xfId="1" builtinId="4"/>
    <cellStyle name="Normal" xfId="0" builtinId="0"/>
  </cellStyles>
  <dxfs count="220">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rgb="FF000000"/>
        <name val="Century Gothic"/>
        <family val="2"/>
        <scheme val="none"/>
      </font>
    </dxf>
    <dxf>
      <font>
        <strike val="0"/>
        <outline val="0"/>
        <shadow val="0"/>
        <u val="none"/>
        <vertAlign val="baseline"/>
        <sz val="11"/>
        <color rgb="FF000000"/>
        <name val="Century Gothic"/>
        <family val="2"/>
        <scheme val="none"/>
      </font>
    </dxf>
    <dxf>
      <font>
        <strike val="0"/>
        <outline val="0"/>
        <shadow val="0"/>
        <u val="none"/>
        <vertAlign val="baseline"/>
        <sz val="11"/>
        <color theme="1"/>
        <name val="Century Gothic"/>
        <family val="2"/>
        <scheme val="none"/>
      </font>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219"/>
      <tableStyleElement type="headerRow" dxfId="218"/>
      <tableStyleElement type="totalRow" dxfId="217"/>
      <tableStyleElement type="secondColumnSubheading" dxfId="216"/>
      <tableStyleElement type="thirdColumnSubheading" dxfId="215"/>
      <tableStyleElement type="firstRowSubheading" dxfId="214"/>
    </tableStyle>
    <tableStyle name="Plastisol-table" pivot="0" count="3" xr9:uid="{5296B5AC-FA0C-4B3D-9BE6-78D14EB57B17}">
      <tableStyleElement type="wholeTable" dxfId="213"/>
      <tableStyleElement type="headerRow" dxfId="212"/>
      <tableStyleElement type="totalRow" dxfId="211"/>
    </tableStyle>
    <tableStyle name="Slicer Style 1" pivot="0" table="0" count="8" xr9:uid="{F3533DD0-2237-47EA-B006-5DB17769F2AB}">
      <tableStyleElement type="wholeTable" dxfId="210"/>
      <tableStyleElement type="headerRow" dxfId="209"/>
    </tableStyle>
  </tableStyles>
  <colors>
    <mruColors>
      <color rgb="FFFFD5D5"/>
      <color rgb="FFB7D1E7"/>
      <color rgb="FF84B1D6"/>
      <color rgb="FF2D9596"/>
      <color rgb="FF9AD0C2"/>
      <color rgb="FF1B3931"/>
      <color rgb="FFE6EDEE"/>
      <color rgb="FFDFF5F5"/>
      <color rgb="FFDFF6F5"/>
      <color rgb="FFE5EFF7"/>
    </mruColors>
  </colors>
  <extLst>
    <ext xmlns:x14="http://schemas.microsoft.com/office/spreadsheetml/2009/9/main" uri="{46F421CA-312F-682f-3DD2-61675219B42D}">
      <x14:dxfs count="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styles" Target="styles.xml"/><Relationship Id="rId39" Type="http://schemas.openxmlformats.org/officeDocument/2006/relationships/customXml" Target="../customXml/item9.xml"/><Relationship Id="rId21" Type="http://schemas.microsoft.com/office/2007/relationships/slicerCache" Target="slicerCaches/slicerCache3.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microsoft.com/office/2017/10/relationships/person" Target="persons/person.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5.xml"/><Relationship Id="rId28" Type="http://schemas.openxmlformats.org/officeDocument/2006/relationships/powerPivotData" Target="model/item.data"/><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microsoft.com/office/2007/relationships/slicerCache" Target="slicerCaches/slicerCache2.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381000</xdr:colOff>
      <xdr:row>4</xdr:row>
      <xdr:rowOff>38100</xdr:rowOff>
    </xdr:from>
    <xdr:to>
      <xdr:col>10</xdr:col>
      <xdr:colOff>133350</xdr:colOff>
      <xdr:row>10</xdr:row>
      <xdr:rowOff>38100</xdr:rowOff>
    </xdr:to>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9725025" y="2324100"/>
          <a:ext cx="971550" cy="11430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10</xdr:col>
      <xdr:colOff>209550</xdr:colOff>
      <xdr:row>4</xdr:row>
      <xdr:rowOff>38099</xdr:rowOff>
    </xdr:from>
    <xdr:to>
      <xdr:col>11</xdr:col>
      <xdr:colOff>485775</xdr:colOff>
      <xdr:row>10</xdr:row>
      <xdr:rowOff>38100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0772775" y="2324099"/>
          <a:ext cx="885825" cy="11430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716990624998"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3"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74">
      <pivotArea type="all" dataOnly="0" outline="0" fieldPosition="0"/>
    </format>
    <format dxfId="173">
      <pivotArea outline="0" collapsedLevelsAreSubtotals="1" fieldPosition="0"/>
    </format>
    <format dxfId="172">
      <pivotArea field="2" type="button" dataOnly="0" labelOnly="1" outline="0" axis="axisRow" fieldPosition="0"/>
    </format>
    <format dxfId="171">
      <pivotArea field="0" type="button" dataOnly="0" labelOnly="1" outline="0" axis="axisRow" fieldPosition="1"/>
    </format>
    <format dxfId="170">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9">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68">
      <pivotArea dataOnly="0" labelOnly="1" grandRow="1" outline="0" fieldPosition="0"/>
    </format>
    <format dxfId="167">
      <pivotArea dataOnly="0" labelOnly="1" outline="0" fieldPosition="0">
        <references count="2">
          <reference field="0" count="1">
            <x v="0"/>
          </reference>
          <reference field="2" count="1" selected="0">
            <x v="0"/>
          </reference>
        </references>
      </pivotArea>
    </format>
    <format dxfId="166">
      <pivotArea dataOnly="0" labelOnly="1" outline="0" fieldPosition="0">
        <references count="2">
          <reference field="0" count="1">
            <x v="1"/>
          </reference>
          <reference field="2" count="1" selected="0">
            <x v="1"/>
          </reference>
        </references>
      </pivotArea>
    </format>
    <format dxfId="165">
      <pivotArea dataOnly="0" labelOnly="1" outline="0" fieldPosition="0">
        <references count="2">
          <reference field="0" count="1">
            <x v="2"/>
          </reference>
          <reference field="2" count="1" selected="0">
            <x v="2"/>
          </reference>
        </references>
      </pivotArea>
    </format>
    <format dxfId="164">
      <pivotArea dataOnly="0" labelOnly="1" outline="0" fieldPosition="0">
        <references count="2">
          <reference field="0" count="1">
            <x v="3"/>
          </reference>
          <reference field="2" count="1" selected="0">
            <x v="3"/>
          </reference>
        </references>
      </pivotArea>
    </format>
    <format dxfId="163">
      <pivotArea dataOnly="0" labelOnly="1" outline="0" fieldPosition="0">
        <references count="2">
          <reference field="0" count="1">
            <x v="4"/>
          </reference>
          <reference field="2" count="1" selected="0">
            <x v="4"/>
          </reference>
        </references>
      </pivotArea>
    </format>
    <format dxfId="162">
      <pivotArea dataOnly="0" labelOnly="1" outline="0" fieldPosition="0">
        <references count="2">
          <reference field="0" count="1">
            <x v="5"/>
          </reference>
          <reference field="2" count="1" selected="0">
            <x v="5"/>
          </reference>
        </references>
      </pivotArea>
    </format>
    <format dxfId="161">
      <pivotArea dataOnly="0" labelOnly="1" outline="0" fieldPosition="0">
        <references count="2">
          <reference field="0" count="1">
            <x v="6"/>
          </reference>
          <reference field="2" count="1" selected="0">
            <x v="6"/>
          </reference>
        </references>
      </pivotArea>
    </format>
    <format dxfId="160">
      <pivotArea dataOnly="0" labelOnly="1" outline="0" fieldPosition="0">
        <references count="2">
          <reference field="0" count="1">
            <x v="7"/>
          </reference>
          <reference field="2" count="1" selected="0">
            <x v="7"/>
          </reference>
        </references>
      </pivotArea>
    </format>
    <format dxfId="159">
      <pivotArea dataOnly="0" labelOnly="1" outline="0" fieldPosition="0">
        <references count="2">
          <reference field="0" count="1">
            <x v="8"/>
          </reference>
          <reference field="2" count="1" selected="0">
            <x v="8"/>
          </reference>
        </references>
      </pivotArea>
    </format>
    <format dxfId="158">
      <pivotArea dataOnly="0" labelOnly="1" outline="0" fieldPosition="0">
        <references count="2">
          <reference field="0" count="1">
            <x v="9"/>
          </reference>
          <reference field="2" count="1" selected="0">
            <x v="9"/>
          </reference>
        </references>
      </pivotArea>
    </format>
    <format dxfId="157">
      <pivotArea dataOnly="0" labelOnly="1" outline="0" fieldPosition="0">
        <references count="2">
          <reference field="0" count="1">
            <x v="10"/>
          </reference>
          <reference field="2" count="1" selected="0">
            <x v="10"/>
          </reference>
        </references>
      </pivotArea>
    </format>
    <format dxfId="156">
      <pivotArea dataOnly="0" labelOnly="1" outline="0" fieldPosition="0">
        <references count="2">
          <reference field="0" count="1">
            <x v="11"/>
          </reference>
          <reference field="2" count="1" selected="0">
            <x v="11"/>
          </reference>
        </references>
      </pivotArea>
    </format>
    <format dxfId="155">
      <pivotArea dataOnly="0" labelOnly="1" outline="0" fieldPosition="0">
        <references count="2">
          <reference field="0" count="1">
            <x v="12"/>
          </reference>
          <reference field="2" count="1" selected="0">
            <x v="12"/>
          </reference>
        </references>
      </pivotArea>
    </format>
    <format dxfId="154">
      <pivotArea dataOnly="0" labelOnly="1" outline="0" fieldPosition="0">
        <references count="2">
          <reference field="0" count="1">
            <x v="13"/>
          </reference>
          <reference field="2" count="1" selected="0">
            <x v="13"/>
          </reference>
        </references>
      </pivotArea>
    </format>
    <format dxfId="153">
      <pivotArea dataOnly="0" labelOnly="1" outline="0" fieldPosition="0">
        <references count="2">
          <reference field="0" count="1">
            <x v="14"/>
          </reference>
          <reference field="2" count="1" selected="0">
            <x v="14"/>
          </reference>
        </references>
      </pivotArea>
    </format>
    <format dxfId="152">
      <pivotArea dataOnly="0" labelOnly="1" outline="0" fieldPosition="0">
        <references count="2">
          <reference field="0" count="1">
            <x v="15"/>
          </reference>
          <reference field="2" count="1" selected="0">
            <x v="15"/>
          </reference>
        </references>
      </pivotArea>
    </format>
    <format dxfId="151">
      <pivotArea dataOnly="0" labelOnly="1" outline="0" fieldPosition="0">
        <references count="2">
          <reference field="0" count="1">
            <x v="16"/>
          </reference>
          <reference field="2" count="1" selected="0">
            <x v="16"/>
          </reference>
        </references>
      </pivotArea>
    </format>
    <format dxfId="150">
      <pivotArea dataOnly="0" labelOnly="1" outline="0" fieldPosition="0">
        <references count="2">
          <reference field="0" count="1">
            <x v="17"/>
          </reference>
          <reference field="2" count="1" selected="0">
            <x v="17"/>
          </reference>
        </references>
      </pivotArea>
    </format>
    <format dxfId="149">
      <pivotArea dataOnly="0" labelOnly="1" outline="0" fieldPosition="0">
        <references count="2">
          <reference field="0" count="1">
            <x v="18"/>
          </reference>
          <reference field="2" count="1" selected="0">
            <x v="18"/>
          </reference>
        </references>
      </pivotArea>
    </format>
    <format dxfId="148">
      <pivotArea dataOnly="0" labelOnly="1" outline="0" fieldPosition="0">
        <references count="2">
          <reference field="0" count="1">
            <x v="19"/>
          </reference>
          <reference field="2" count="1" selected="0">
            <x v="19"/>
          </reference>
        </references>
      </pivotArea>
    </format>
    <format dxfId="147">
      <pivotArea dataOnly="0" labelOnly="1" outline="0" fieldPosition="0">
        <references count="2">
          <reference field="0" count="1">
            <x v="20"/>
          </reference>
          <reference field="2" count="1" selected="0">
            <x v="20"/>
          </reference>
        </references>
      </pivotArea>
    </format>
    <format dxfId="146">
      <pivotArea dataOnly="0" labelOnly="1" outline="0" fieldPosition="0">
        <references count="2">
          <reference field="0" count="1">
            <x v="21"/>
          </reference>
          <reference field="2" count="1" selected="0">
            <x v="21"/>
          </reference>
        </references>
      </pivotArea>
    </format>
    <format dxfId="145">
      <pivotArea dataOnly="0" labelOnly="1" outline="0" fieldPosition="0">
        <references count="2">
          <reference field="0" count="1">
            <x v="22"/>
          </reference>
          <reference field="2" count="1" selected="0">
            <x v="22"/>
          </reference>
        </references>
      </pivotArea>
    </format>
    <format dxfId="144">
      <pivotArea dataOnly="0" labelOnly="1" outline="0" fieldPosition="0">
        <references count="2">
          <reference field="0" count="1">
            <x v="23"/>
          </reference>
          <reference field="2" count="1" selected="0">
            <x v="23"/>
          </reference>
        </references>
      </pivotArea>
    </format>
    <format dxfId="143">
      <pivotArea dataOnly="0" labelOnly="1" outline="0" fieldPosition="0">
        <references count="2">
          <reference field="0" count="1">
            <x v="24"/>
          </reference>
          <reference field="2" count="1" selected="0">
            <x v="24"/>
          </reference>
        </references>
      </pivotArea>
    </format>
    <format dxfId="142">
      <pivotArea dataOnly="0" labelOnly="1" outline="0" fieldPosition="0">
        <references count="2">
          <reference field="0" count="1">
            <x v="25"/>
          </reference>
          <reference field="2" count="1" selected="0">
            <x v="25"/>
          </reference>
        </references>
      </pivotArea>
    </format>
    <format dxfId="141">
      <pivotArea dataOnly="0" labelOnly="1" outline="0" fieldPosition="0">
        <references count="2">
          <reference field="0" count="1">
            <x v="26"/>
          </reference>
          <reference field="2" count="1" selected="0">
            <x v="26"/>
          </reference>
        </references>
      </pivotArea>
    </format>
    <format dxfId="140">
      <pivotArea dataOnly="0" labelOnly="1" outline="0" fieldPosition="0">
        <references count="2">
          <reference field="0" count="1">
            <x v="27"/>
          </reference>
          <reference field="2" count="1" selected="0">
            <x v="27"/>
          </reference>
        </references>
      </pivotArea>
    </format>
    <format dxfId="139">
      <pivotArea dataOnly="0" labelOnly="1" outline="0" fieldPosition="0">
        <references count="2">
          <reference field="0" count="1">
            <x v="28"/>
          </reference>
          <reference field="2" count="1" selected="0">
            <x v="28"/>
          </reference>
        </references>
      </pivotArea>
    </format>
    <format dxfId="138">
      <pivotArea dataOnly="0" labelOnly="1" outline="0" fieldPosition="0">
        <references count="2">
          <reference field="0" count="1">
            <x v="29"/>
          </reference>
          <reference field="2" count="1" selected="0">
            <x v="29"/>
          </reference>
        </references>
      </pivotArea>
    </format>
    <format dxfId="137">
      <pivotArea dataOnly="0" labelOnly="1" outline="0" fieldPosition="0">
        <references count="2">
          <reference field="0" count="1">
            <x v="30"/>
          </reference>
          <reference field="2" count="1" selected="0">
            <x v="30"/>
          </reference>
        </references>
      </pivotArea>
    </format>
    <format dxfId="136">
      <pivotArea dataOnly="0" labelOnly="1" outline="0" fieldPosition="0">
        <references count="2">
          <reference field="0" count="1">
            <x v="31"/>
          </reference>
          <reference field="2" count="1" selected="0">
            <x v="31"/>
          </reference>
        </references>
      </pivotArea>
    </format>
    <format dxfId="135">
      <pivotArea dataOnly="0" labelOnly="1" outline="0" fieldPosition="0">
        <references count="2">
          <reference field="0" count="1">
            <x v="32"/>
          </reference>
          <reference field="2" count="1" selected="0">
            <x v="32"/>
          </reference>
        </references>
      </pivotArea>
    </format>
    <format dxfId="134">
      <pivotArea dataOnly="0" labelOnly="1" outline="0" fieldPosition="0">
        <references count="2">
          <reference field="0" count="1">
            <x v="33"/>
          </reference>
          <reference field="2" count="1" selected="0">
            <x v="33"/>
          </reference>
        </references>
      </pivotArea>
    </format>
    <format dxfId="133">
      <pivotArea dataOnly="0" labelOnly="1" outline="0" fieldPosition="0">
        <references count="2">
          <reference field="0" count="1">
            <x v="34"/>
          </reference>
          <reference field="2" count="1" selected="0">
            <x v="34"/>
          </reference>
        </references>
      </pivotArea>
    </format>
    <format dxfId="132">
      <pivotArea dataOnly="0" labelOnly="1" outline="0" fieldPosition="0">
        <references count="2">
          <reference field="0" count="1">
            <x v="35"/>
          </reference>
          <reference field="2" count="1" selected="0">
            <x v="35"/>
          </reference>
        </references>
      </pivotArea>
    </format>
    <format dxfId="131">
      <pivotArea dataOnly="0" labelOnly="1" outline="0" fieldPosition="0">
        <references count="2">
          <reference field="0" count="1">
            <x v="36"/>
          </reference>
          <reference field="2" count="1" selected="0">
            <x v="36"/>
          </reference>
        </references>
      </pivotArea>
    </format>
    <format dxfId="130">
      <pivotArea dataOnly="0" labelOnly="1" outline="0" fieldPosition="0">
        <references count="2">
          <reference field="0" count="1">
            <x v="37"/>
          </reference>
          <reference field="2" count="1" selected="0">
            <x v="37"/>
          </reference>
        </references>
      </pivotArea>
    </format>
    <format dxfId="129">
      <pivotArea dataOnly="0" labelOnly="1" outline="0" fieldPosition="0">
        <references count="2">
          <reference field="0" count="1">
            <x v="38"/>
          </reference>
          <reference field="2" count="1" selected="0">
            <x v="38"/>
          </reference>
        </references>
      </pivotArea>
    </format>
    <format dxfId="128">
      <pivotArea dataOnly="0" labelOnly="1" outline="0" fieldPosition="0">
        <references count="2">
          <reference field="0" count="1">
            <x v="39"/>
          </reference>
          <reference field="2" count="1" selected="0">
            <x v="39"/>
          </reference>
        </references>
      </pivotArea>
    </format>
    <format dxfId="127">
      <pivotArea dataOnly="0" labelOnly="1" outline="0" fieldPosition="0">
        <references count="2">
          <reference field="0" count="1">
            <x v="40"/>
          </reference>
          <reference field="2" count="1" selected="0">
            <x v="40"/>
          </reference>
        </references>
      </pivotArea>
    </format>
    <format dxfId="126">
      <pivotArea dataOnly="0" labelOnly="1" outline="0" fieldPosition="0">
        <references count="2">
          <reference field="0" count="1">
            <x v="41"/>
          </reference>
          <reference field="2" count="1" selected="0">
            <x v="41"/>
          </reference>
        </references>
      </pivotArea>
    </format>
    <format dxfId="125">
      <pivotArea dataOnly="0" labelOnly="1" outline="0" fieldPosition="0">
        <references count="2">
          <reference field="0" count="1">
            <x v="42"/>
          </reference>
          <reference field="2" count="1" selected="0">
            <x v="42"/>
          </reference>
        </references>
      </pivotArea>
    </format>
    <format dxfId="124">
      <pivotArea dataOnly="0" labelOnly="1" outline="0" fieldPosition="0">
        <references count="2">
          <reference field="0" count="1">
            <x v="43"/>
          </reference>
          <reference field="2" count="1" selected="0">
            <x v="43"/>
          </reference>
        </references>
      </pivotArea>
    </format>
    <format dxfId="123">
      <pivotArea dataOnly="0" labelOnly="1" outline="0" fieldPosition="0">
        <references count="2">
          <reference field="0" count="1">
            <x v="44"/>
          </reference>
          <reference field="2" count="1" selected="0">
            <x v="44"/>
          </reference>
        </references>
      </pivotArea>
    </format>
    <format dxfId="122">
      <pivotArea dataOnly="0" labelOnly="1" outline="0" fieldPosition="0">
        <references count="2">
          <reference field="0" count="1">
            <x v="45"/>
          </reference>
          <reference field="2" count="1" selected="0">
            <x v="45"/>
          </reference>
        </references>
      </pivotArea>
    </format>
    <format dxfId="121">
      <pivotArea dataOnly="0" labelOnly="1" outline="0" fieldPosition="0">
        <references count="2">
          <reference field="0" count="1">
            <x v="46"/>
          </reference>
          <reference field="2" count="1" selected="0">
            <x v="46"/>
          </reference>
        </references>
      </pivotArea>
    </format>
    <format dxfId="120">
      <pivotArea dataOnly="0" labelOnly="1" outline="0" fieldPosition="0">
        <references count="2">
          <reference field="0" count="1">
            <x v="47"/>
          </reference>
          <reference field="2" count="1" selected="0">
            <x v="47"/>
          </reference>
        </references>
      </pivotArea>
    </format>
    <format dxfId="119">
      <pivotArea dataOnly="0" labelOnly="1" outline="0" fieldPosition="0">
        <references count="2">
          <reference field="0" count="1">
            <x v="48"/>
          </reference>
          <reference field="2" count="1" selected="0">
            <x v="48"/>
          </reference>
        </references>
      </pivotArea>
    </format>
    <format dxfId="118">
      <pivotArea dataOnly="0" labelOnly="1" outline="0" fieldPosition="0">
        <references count="2">
          <reference field="0" count="1">
            <x v="49"/>
          </reference>
          <reference field="2" count="1" selected="0">
            <x v="49"/>
          </reference>
        </references>
      </pivotArea>
    </format>
    <format dxfId="117">
      <pivotArea dataOnly="0" labelOnly="1" outline="0" fieldPosition="0">
        <references count="2">
          <reference field="0" count="1">
            <x v="50"/>
          </reference>
          <reference field="2" count="1" selected="0">
            <x v="50"/>
          </reference>
        </references>
      </pivotArea>
    </format>
    <format dxfId="116">
      <pivotArea dataOnly="0" labelOnly="1" outline="0" fieldPosition="0">
        <references count="2">
          <reference field="0" count="1">
            <x v="51"/>
          </reference>
          <reference field="2" count="1" selected="0">
            <x v="51"/>
          </reference>
        </references>
      </pivotArea>
    </format>
    <format dxfId="115">
      <pivotArea dataOnly="0" labelOnly="1" outline="0" fieldPosition="0">
        <references count="2">
          <reference field="0" count="1">
            <x v="52"/>
          </reference>
          <reference field="2" count="1" selected="0">
            <x v="52"/>
          </reference>
        </references>
      </pivotArea>
    </format>
    <format dxfId="114">
      <pivotArea dataOnly="0" labelOnly="1" outline="0" fieldPosition="0">
        <references count="2">
          <reference field="0" count="1">
            <x v="53"/>
          </reference>
          <reference field="2" count="1" selected="0">
            <x v="53"/>
          </reference>
        </references>
      </pivotArea>
    </format>
    <format dxfId="113">
      <pivotArea dataOnly="0" labelOnly="1" outline="0" fieldPosition="0">
        <references count="2">
          <reference field="0" count="1">
            <x v="54"/>
          </reference>
          <reference field="2" count="1" selected="0">
            <x v="54"/>
          </reference>
        </references>
      </pivotArea>
    </format>
    <format dxfId="112">
      <pivotArea dataOnly="0" labelOnly="1" outline="0" fieldPosition="0">
        <references count="2">
          <reference field="0" count="1">
            <x v="55"/>
          </reference>
          <reference field="2" count="1" selected="0">
            <x v="55"/>
          </reference>
        </references>
      </pivotArea>
    </format>
    <format dxfId="111">
      <pivotArea dataOnly="0" labelOnly="1" outline="0" fieldPosition="0">
        <references count="2">
          <reference field="0" count="1">
            <x v="56"/>
          </reference>
          <reference field="2" count="1" selected="0">
            <x v="56"/>
          </reference>
        </references>
      </pivotArea>
    </format>
    <format dxfId="110">
      <pivotArea dataOnly="0" labelOnly="1" outline="0" fieldPosition="0">
        <references count="2">
          <reference field="0" count="1">
            <x v="57"/>
          </reference>
          <reference field="2" count="1" selected="0">
            <x v="57"/>
          </reference>
        </references>
      </pivotArea>
    </format>
    <format dxfId="109">
      <pivotArea dataOnly="0" labelOnly="1" outline="0" fieldPosition="0">
        <references count="2">
          <reference field="0" count="1">
            <x v="58"/>
          </reference>
          <reference field="2" count="1" selected="0">
            <x v="58"/>
          </reference>
        </references>
      </pivotArea>
    </format>
    <format dxfId="108">
      <pivotArea dataOnly="0" labelOnly="1" outline="0" fieldPosition="0">
        <references count="2">
          <reference field="0" count="1">
            <x v="59"/>
          </reference>
          <reference field="2" count="1" selected="0">
            <x v="59"/>
          </reference>
        </references>
      </pivotArea>
    </format>
    <format dxfId="107">
      <pivotArea dataOnly="0" labelOnly="1" outline="0" fieldPosition="0">
        <references count="2">
          <reference field="0" count="1">
            <x v="60"/>
          </reference>
          <reference field="2" count="1" selected="0">
            <x v="60"/>
          </reference>
        </references>
      </pivotArea>
    </format>
    <format dxfId="106">
      <pivotArea dataOnly="0" labelOnly="1" outline="0" fieldPosition="0">
        <references count="2">
          <reference field="0" count="1">
            <x v="61"/>
          </reference>
          <reference field="2" count="1" selected="0">
            <x v="61"/>
          </reference>
        </references>
      </pivotArea>
    </format>
    <format dxfId="105">
      <pivotArea dataOnly="0" labelOnly="1" outline="0" fieldPosition="0">
        <references count="2">
          <reference field="0" count="1">
            <x v="62"/>
          </reference>
          <reference field="2" count="1" selected="0">
            <x v="62"/>
          </reference>
        </references>
      </pivotArea>
    </format>
    <format dxfId="104">
      <pivotArea dataOnly="0" labelOnly="1" outline="0" fieldPosition="0">
        <references count="2">
          <reference field="0" count="1">
            <x v="63"/>
          </reference>
          <reference field="2" count="1" selected="0">
            <x v="63"/>
          </reference>
        </references>
      </pivotArea>
    </format>
    <format dxfId="103">
      <pivotArea dataOnly="0" labelOnly="1" outline="0" fieldPosition="0">
        <references count="2">
          <reference field="0" count="1">
            <x v="64"/>
          </reference>
          <reference field="2" count="1" selected="0">
            <x v="64"/>
          </reference>
        </references>
      </pivotArea>
    </format>
    <format dxfId="102">
      <pivotArea dataOnly="0" labelOnly="1" outline="0" fieldPosition="0">
        <references count="2">
          <reference field="0" count="1">
            <x v="65"/>
          </reference>
          <reference field="2" count="1" selected="0">
            <x v="65"/>
          </reference>
        </references>
      </pivotArea>
    </format>
    <format dxfId="101">
      <pivotArea dataOnly="0" labelOnly="1" outline="0" fieldPosition="0">
        <references count="2">
          <reference field="0" count="1">
            <x v="66"/>
          </reference>
          <reference field="2" count="1" selected="0">
            <x v="66"/>
          </reference>
        </references>
      </pivotArea>
    </format>
    <format dxfId="100">
      <pivotArea dataOnly="0" labelOnly="1" outline="0" fieldPosition="0">
        <references count="2">
          <reference field="0" count="1">
            <x v="67"/>
          </reference>
          <reference field="2" count="1" selected="0">
            <x v="67"/>
          </reference>
        </references>
      </pivotArea>
    </format>
    <format dxfId="99">
      <pivotArea dataOnly="0" labelOnly="1" outline="0" fieldPosition="0">
        <references count="2">
          <reference field="0" count="1">
            <x v="68"/>
          </reference>
          <reference field="2" count="1" selected="0">
            <x v="68"/>
          </reference>
        </references>
      </pivotArea>
    </format>
    <format dxfId="98">
      <pivotArea dataOnly="0" labelOnly="1" outline="0" fieldPosition="0">
        <references count="2">
          <reference field="0" count="1">
            <x v="69"/>
          </reference>
          <reference field="2" count="1" selected="0">
            <x v="69"/>
          </reference>
        </references>
      </pivotArea>
    </format>
    <format dxfId="97">
      <pivotArea dataOnly="0" labelOnly="1" outline="0" fieldPosition="0">
        <references count="2">
          <reference field="0" count="1">
            <x v="70"/>
          </reference>
          <reference field="2" count="1" selected="0">
            <x v="70"/>
          </reference>
        </references>
      </pivotArea>
    </format>
    <format dxfId="96">
      <pivotArea dataOnly="0" labelOnly="1" outline="0" fieldPosition="0">
        <references count="2">
          <reference field="0" count="1">
            <x v="71"/>
          </reference>
          <reference field="2" count="1" selected="0">
            <x v="71"/>
          </reference>
        </references>
      </pivotArea>
    </format>
    <format dxfId="95">
      <pivotArea dataOnly="0" labelOnly="1" outline="0" fieldPosition="0">
        <references count="2">
          <reference field="0" count="1">
            <x v="72"/>
          </reference>
          <reference field="2" count="1" selected="0">
            <x v="72"/>
          </reference>
        </references>
      </pivotArea>
    </format>
    <format dxfId="94">
      <pivotArea dataOnly="0" labelOnly="1" outline="0" fieldPosition="0">
        <references count="2">
          <reference field="0" count="1">
            <x v="73"/>
          </reference>
          <reference field="2" count="1" selected="0">
            <x v="73"/>
          </reference>
        </references>
      </pivotArea>
    </format>
    <format dxfId="93">
      <pivotArea dataOnly="0" labelOnly="1" outline="0" fieldPosition="0">
        <references count="2">
          <reference field="0" count="1">
            <x v="74"/>
          </reference>
          <reference field="2" count="1" selected="0">
            <x v="74"/>
          </reference>
        </references>
      </pivotArea>
    </format>
    <format dxfId="92">
      <pivotArea dataOnly="0" labelOnly="1" outline="0" fieldPosition="0">
        <references count="2">
          <reference field="0" count="1">
            <x v="75"/>
          </reference>
          <reference field="2" count="1" selected="0">
            <x v="75"/>
          </reference>
        </references>
      </pivotArea>
    </format>
    <format dxfId="91">
      <pivotArea dataOnly="0" labelOnly="1" outline="0" fieldPosition="0">
        <references count="2">
          <reference field="0" count="1">
            <x v="76"/>
          </reference>
          <reference field="2" count="1" selected="0">
            <x v="76"/>
          </reference>
        </references>
      </pivotArea>
    </format>
    <format dxfId="90">
      <pivotArea dataOnly="0" labelOnly="1" outline="0" fieldPosition="0">
        <references count="2">
          <reference field="0" count="1">
            <x v="77"/>
          </reference>
          <reference field="2" count="1" selected="0">
            <x v="77"/>
          </reference>
        </references>
      </pivotArea>
    </format>
    <format dxfId="89">
      <pivotArea dataOnly="0" labelOnly="1" outline="0" fieldPosition="0">
        <references count="2">
          <reference field="0" count="1">
            <x v="78"/>
          </reference>
          <reference field="2" count="1" selected="0">
            <x v="78"/>
          </reference>
        </references>
      </pivotArea>
    </format>
    <format dxfId="88">
      <pivotArea dataOnly="0" labelOnly="1" outline="0" fieldPosition="0">
        <references count="2">
          <reference field="0" count="1">
            <x v="79"/>
          </reference>
          <reference field="2" count="1" selected="0">
            <x v="79"/>
          </reference>
        </references>
      </pivotArea>
    </format>
    <format dxfId="87">
      <pivotArea dataOnly="0" labelOnly="1" outline="0" fieldPosition="0">
        <references count="2">
          <reference field="0" count="1">
            <x v="80"/>
          </reference>
          <reference field="2" count="1" selected="0">
            <x v="80"/>
          </reference>
        </references>
      </pivotArea>
    </format>
    <format dxfId="86">
      <pivotArea dataOnly="0" labelOnly="1" outline="0" fieldPosition="0">
        <references count="2">
          <reference field="0" count="1">
            <x v="81"/>
          </reference>
          <reference field="2" count="1" selected="0">
            <x v="81"/>
          </reference>
        </references>
      </pivotArea>
    </format>
    <format dxfId="85">
      <pivotArea dataOnly="0" labelOnly="1" outline="0" fieldPosition="0">
        <references count="2">
          <reference field="0" count="1">
            <x v="82"/>
          </reference>
          <reference field="2" count="1" selected="0">
            <x v="82"/>
          </reference>
        </references>
      </pivotArea>
    </format>
    <format dxfId="84">
      <pivotArea dataOnly="0" labelOnly="1" outline="0" fieldPosition="0">
        <references count="2">
          <reference field="0" count="1">
            <x v="83"/>
          </reference>
          <reference field="2" count="1" selected="0">
            <x v="83"/>
          </reference>
        </references>
      </pivotArea>
    </format>
    <format dxfId="83">
      <pivotArea dataOnly="0" labelOnly="1" outline="0" fieldPosition="0">
        <references count="2">
          <reference field="0" count="1">
            <x v="84"/>
          </reference>
          <reference field="2" count="1" selected="0">
            <x v="84"/>
          </reference>
        </references>
      </pivotArea>
    </format>
    <format dxfId="82">
      <pivotArea dataOnly="0" labelOnly="1" outline="0" fieldPosition="0">
        <references count="2">
          <reference field="0" count="1">
            <x v="85"/>
          </reference>
          <reference field="2" count="1" selected="0">
            <x v="85"/>
          </reference>
        </references>
      </pivotArea>
    </format>
    <format dxfId="81">
      <pivotArea dataOnly="0" labelOnly="1" outline="0" fieldPosition="0">
        <references count="2">
          <reference field="0" count="1">
            <x v="86"/>
          </reference>
          <reference field="2" count="1" selected="0">
            <x v="86"/>
          </reference>
        </references>
      </pivotArea>
    </format>
    <format dxfId="80">
      <pivotArea dataOnly="0" labelOnly="1" outline="0" fieldPosition="0">
        <references count="2">
          <reference field="0" count="1">
            <x v="87"/>
          </reference>
          <reference field="2" count="1" selected="0">
            <x v="87"/>
          </reference>
        </references>
      </pivotArea>
    </format>
    <format dxfId="79">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1"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0"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4:G34" totalsRowCount="1" headerRowDxfId="208" dataDxfId="207" totalsRowDxfId="206">
  <autoFilter ref="B14:G33" xr:uid="{C118E06B-D53C-4C34-A497-533D71BE821B}">
    <filterColumn colId="0" hiddenButton="1"/>
    <filterColumn colId="1" hiddenButton="1"/>
    <filterColumn colId="2" hiddenButton="1"/>
    <filterColumn colId="3" hiddenButton="1"/>
    <filterColumn colId="4" hiddenButton="1"/>
    <filterColumn colId="5" hiddenButton="1"/>
  </autoFilter>
  <tableColumns count="6">
    <tableColumn id="1" xr3:uid="{905D1253-62BD-4ECB-8460-5E8DEF4B598C}" name="ID" dataDxfId="205" totalsRowDxfId="204"/>
    <tableColumn id="2" xr3:uid="{AAA27801-47C4-4874-A097-936487C1FE11}" name="DESCRIPCION" dataDxfId="203" totalsRowDxfId="202">
      <calculatedColumnFormula>IFERROR(_xlfn.XLOOKUP(factura_tb[[#This Row],[ID]],total_leyenda[ID],total_leyenda[DESCRIPCION]),"")</calculatedColumnFormula>
    </tableColumn>
    <tableColumn id="3" xr3:uid="{4C7E250B-0B4A-4560-AA4F-E2BC53117D1C}" name="CANTIDAD" dataDxfId="201" totalsRowDxfId="200"/>
    <tableColumn id="6" xr3:uid="{C4FB869C-E694-417E-8EFC-8EC10778BD79}" name="VALOR UNITARIO" dataDxfId="199" totalsRowDxfId="198" dataCellStyle="Currency">
      <calculatedColumnFormula>IFERROR(_xlfn.XLOOKUP(factura_tb[[#This Row],[ID]],total_leyenda[ID],total_leyenda[precio unitario]),"")</calculatedColumnFormula>
    </tableColumn>
    <tableColumn id="4" xr3:uid="{A9B43DC8-6375-450F-9539-AF92F6895350}" name="COMENTARIO" dataDxfId="197" totalsRowDxfId="196"/>
    <tableColumn id="5" xr3:uid="{421DF32D-BBDD-4319-B192-A70F6E625D37}" name="TOTAL" dataDxfId="195" totalsRowDxfId="194"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DB19DFA-CA62-438C-B212-4478EA7884D4}" name="factura_tb22" displayName="factura_tb22" ref="B50:J70" totalsRowCount="1" headerRowDxfId="193" dataDxfId="192" totalsRowDxfId="191">
  <autoFilter ref="B50:J69" xr:uid="{6DB19DFA-CA62-438C-B212-4478EA7884D4}"/>
  <tableColumns count="9">
    <tableColumn id="1" xr3:uid="{C7AFEB1A-033F-4AB4-A713-C5958856893C}" name="ID" dataDxfId="190" totalsRowDxfId="189"/>
    <tableColumn id="2" xr3:uid="{13D2A9DF-20A4-4F98-B77F-06D718D631D6}" name="DESCRIPCION" dataDxfId="188" totalsRowDxfId="187">
      <calculatedColumnFormula>IFERROR(_xlfn.XLOOKUP(factura_tb22[[#This Row],[ID]],total_leyenda[ID],total_leyenda[DESCRIPCION]),"")</calculatedColumnFormula>
    </tableColumn>
    <tableColumn id="9" xr3:uid="{E218594E-22D3-46BB-90B0-38B1B6714346}" name="Column3" dataDxfId="5" totalsRowDxfId="6"/>
    <tableColumn id="7" xr3:uid="{9451AF17-424E-4AC2-B553-BE15FB43DEA4}" name="Column1" dataDxfId="186" totalsRowDxfId="185"/>
    <tableColumn id="8" xr3:uid="{B67F44B4-2DB2-4227-AB7F-8D46707EF6FA}" name="Column2" dataDxfId="184" totalsRowDxfId="183"/>
    <tableColumn id="3" xr3:uid="{1F67B12C-2E26-4404-89B8-42F6CA49A16D}" name="CANTIDAD" dataDxfId="182" totalsRowDxfId="181"/>
    <tableColumn id="6" xr3:uid="{526164E2-73D3-412F-816C-733F26623DFB}" name="VALOR UNITARIO" dataDxfId="180" totalsRowDxfId="179" dataCellStyle="Currency">
      <calculatedColumnFormula>IFERROR(_xlfn.XLOOKUP(factura_tb22[[#This Row],[ID]],total_leyenda[ID],total_leyenda[precio unitario]),"")</calculatedColumnFormula>
    </tableColumn>
    <tableColumn id="4" xr3:uid="{55D84085-B409-4C2E-BB9D-0662D30610BF}" name="COMENTARIO" dataDxfId="178" totalsRowDxfId="177"/>
    <tableColumn id="5" xr3:uid="{2DE6D124-E91D-4D52-8829-B9655E460B02}" name="TOTAL" dataDxfId="176" totalsRowDxfId="175" dataCellStyle="Currency">
      <calculatedColumnFormula>IFERROR(ROUNDUP(factura_tb22[[#This Row],[CANTIDAD]]*factura_tb22[[#This Row],[VALOR UNITARIO]],2),"")</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D4064C-C564-493B-8337-D51CC25E9502}" name="factura_tb2220" displayName="factura_tb2220" ref="B59:J79" totalsRowCount="1" headerRowDxfId="25" dataDxfId="24" totalsRowDxfId="23">
  <autoFilter ref="B59:J78" xr:uid="{6DB19DFA-CA62-438C-B212-4478EA7884D4}"/>
  <tableColumns count="9">
    <tableColumn id="1" xr3:uid="{C640EFFD-C0A1-4179-8D20-3BC24BB558F1}" name="ID" dataDxfId="21" totalsRowDxfId="22"/>
    <tableColumn id="2" xr3:uid="{579F9405-549A-4E0C-826F-AE9A4B44C6A5}" name="DESCRIPCION" dataDxfId="19" totalsRowDxfId="20">
      <calculatedColumnFormula>IFERROR(_xlfn.XLOOKUP(factura_tb2220[[#This Row],[ID]],total_leyenda[ID],total_leyenda[DESCRIPCION]),"")</calculatedColumnFormula>
    </tableColumn>
    <tableColumn id="9" xr3:uid="{F4187461-F847-4CAA-BBCC-0D56E6BF0213}" name="Column3" dataDxfId="3" totalsRowDxfId="4"/>
    <tableColumn id="7" xr3:uid="{2AB17C03-493F-47BC-817C-A74C1524D1CF}" name="Column1" dataDxfId="17" totalsRowDxfId="18"/>
    <tableColumn id="8" xr3:uid="{6CCA59C2-4011-49DA-ABAE-BA938FA25658}" name="Column2" dataDxfId="15" totalsRowDxfId="16"/>
    <tableColumn id="3" xr3:uid="{E71D143E-089A-445F-9EDB-5C3A625F48A9}" name="CANTIDAD" dataDxfId="13" totalsRowDxfId="14"/>
    <tableColumn id="6" xr3:uid="{9FC9B381-4359-484F-987C-12F1FDD4CE49}" name="VALOR UNITARIO" dataDxfId="11" totalsRowDxfId="12" dataCellStyle="Currency">
      <calculatedColumnFormula>IFERROR(_xlfn.XLOOKUP(factura_tb2220[[#This Row],[ID]],total_leyenda[ID],total_leyenda[precio unitario]),"")</calculatedColumnFormula>
    </tableColumn>
    <tableColumn id="4" xr3:uid="{3BDB9718-A8D3-457D-A0FB-1966573ED5FD}" name="COMENTARIO" dataDxfId="9" totalsRowDxfId="10"/>
    <tableColumn id="5" xr3:uid="{C78907EE-4046-4026-A0BD-88B7EEFAC3DC}" name="TOTAL" dataDxfId="7" totalsRowDxfId="8" dataCellStyle="Currency">
      <calculatedColumnFormula>IFERROR(ROUNDUP(factura_tb2220[[#This Row],[CANTIDAD]]*factura_tb2220[[#This Row],[VALOR UNITARIO]],2),"")</calculatedColumnFormula>
    </tableColumn>
  </tableColumns>
  <tableStyleInfo name="Plastisol-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78"/>
    <tableColumn id="2" xr3:uid="{36BB7A48-8608-4DE4-9575-9B04C30EF766}" name="ENTRADA UNIDADES"/>
    <tableColumn id="3" xr3:uid="{E70C7393-111D-47A9-AF6B-5ECC401608A7}" name="COMENTARIO"/>
    <tableColumn id="7" xr3:uid="{797A9C3A-A00A-499D-AC97-F7B30636C162}" name="fecha manual (dia/mes/anio)" dataDxfId="77"/>
    <tableColumn id="4" xr3:uid="{1FC880C8-370C-454D-A0D1-F927AD2FE156}" name="hora manual (hh/mm AM/PM)" dataDxfId="76"/>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75" dataDxfId="73" headerRowBorderDxfId="74" tableBorderDxfId="72" totalsRowBorderDxfId="71">
  <autoFilter ref="A1:I89" xr:uid="{F57597E2-C952-4754-8138-C793B9B40583}"/>
  <tableColumns count="9">
    <tableColumn id="1" xr3:uid="{ECB07C3F-9550-4E67-AA2E-CC6ED1B27533}" name="ID" dataDxfId="70"/>
    <tableColumn id="2" xr3:uid="{1C96C333-5A36-4501-986C-193625FB95CE}" name="UNIDADES" dataDxfId="69"/>
    <tableColumn id="3" xr3:uid="{CA110C24-885C-4938-B33F-4F3FA8760F58}" name="COMENTARIO" dataDxfId="68"/>
    <tableColumn id="4" xr3:uid="{0F82B8EB-1BF2-4744-A79F-F1985B99B5BB}" name="fecha manual (dia/mes/anio)" dataDxfId="67"/>
    <tableColumn id="5" xr3:uid="{9F17267E-8C81-4DEE-806F-65BD1FF3BBB1}" name="hora manual (hh/mm AM/PM)" dataDxfId="66"/>
    <tableColumn id="6" xr3:uid="{CD7273DE-D424-4A9A-BB5E-61EA90EBBFB4}" name="DESCRIPCION" dataDxfId="65"/>
    <tableColumn id="11" xr3:uid="{06AB7ED4-E9EF-4B67-B83C-8F2DD9EE10DD}" name="CATEGORIA" dataDxfId="64">
      <calculatedColumnFormula>_xlfn.XLOOKUP(entradas_hist[[#This Row],[ID]],total_leyenda[ID],total_leyenda[categoria])</calculatedColumnFormula>
    </tableColumn>
    <tableColumn id="8" xr3:uid="{A795431A-2A2C-4E61-8B30-48FA3B885B39}" name="TIPO" dataDxfId="63"/>
    <tableColumn id="7" xr3:uid="{58D5B9AD-2D39-49D6-AAC6-CC9FE269BCA4}" name="fecha registro" dataDxfId="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M24" totalsRowShown="0">
  <autoFilter ref="A1:M24" xr:uid="{979F203C-5566-4775-8454-EAEFA2F2B54F}">
    <filterColumn colId="4">
      <filters>
        <filter val="00101"/>
      </filters>
    </filterColumn>
  </autoFilter>
  <tableColumns count="13">
    <tableColumn id="1" xr3:uid="{FDC253CB-1FD0-4E94-95D3-8DCACD435FE4}" name="FACTURA_ID" dataDxfId="61"/>
    <tableColumn id="11" xr3:uid="{5E91CE06-9DAD-4E6B-BBAF-91166672E134}" name="FECHA" dataDxfId="60"/>
    <tableColumn id="12" xr3:uid="{D026A8A1-69D4-42EC-9D42-409851C3B7E5}" name="HORA" dataDxfId="59"/>
    <tableColumn id="15" xr3:uid="{8D84D887-2841-40BB-A4A8-243495A463D9}" name="CLIENTE" dataDxfId="58"/>
    <tableColumn id="13" xr3:uid="{2B1B31A1-B76A-4E98-B5C7-BDBE65292330}" name="PRODUCTO_ID" dataDxfId="57"/>
    <tableColumn id="14" xr3:uid="{C9E1064C-FD53-49C8-89C0-08C3BA5B5411}" name="DESCRIPCION" dataDxfId="56"/>
    <tableColumn id="2" xr3:uid="{601C0B7A-1106-493F-B7FF-2C68A5AB4E5C}" name="UNIDADES"/>
    <tableColumn id="5" xr3:uid="{6700B0D2-34E8-4E15-9383-5D9517E8D99B}" name="Valor unitario"/>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55"/>
    <tableColumn id="9" xr3:uid="{D6E92859-BEFD-4C48-8425-CA80331BD9DA}" name="CATEGORIA" dataDxfId="54">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53"/>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52"/>
    <tableColumn id="16" xr3:uid="{E1095967-5E89-478C-9B47-97448568CFCD}" uniqueName="16" name="hora" queryTableFieldId="31" dataDxfId="51"/>
    <tableColumn id="8" xr3:uid="{9781B3D8-DC54-4FBC-B9BB-585FDC45EA83}" uniqueName="8" name="Intervalo" queryTableFieldId="20" dataDxfId="50"/>
    <tableColumn id="6" xr3:uid="{F09C5370-4D22-46EF-8660-3ABCF92BB2AF}" uniqueName="6" name="descripcion" queryTableFieldId="6" dataDxfId="49"/>
    <tableColumn id="18" xr3:uid="{6F6D191E-4B77-4461-9F16-E38EAE92BB7E}" uniqueName="18" name="categoria" queryTableFieldId="42"/>
    <tableColumn id="3" xr3:uid="{1DD41784-C550-4678-A2C7-2402624914E9}" uniqueName="3" name="comentario" queryTableFieldId="3" dataDxfId="48"/>
    <tableColumn id="7" xr3:uid="{D734CA0C-6E1B-446C-AF2D-D8B668EDDC2A}" uniqueName="7" name="fecha registro" queryTableFieldId="11" dataDxfId="47"/>
    <tableColumn id="14" xr3:uid="{59BDEEE5-7C9D-4B7F-945D-05D8901DB39E}" uniqueName="14" name="total_inv" queryTableFieldId="29" dataDxfId="46">
      <calculatedColumnFormula>SUMIF(C$2:C2, historico_movimientos[[#This Row],[id_producto]],D$2:D2)</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45"/>
    <tableColumn id="4" xr3:uid="{D93925F4-8E51-4C06-9A78-466CE96DD5FC}" uniqueName="4" name="categoria" queryTableFieldId="6"/>
    <tableColumn id="2" xr3:uid="{D39D12B1-86F5-4409-AC31-25E406C66C2B}" uniqueName="2" name="descripcion" queryTableFieldId="2" dataDxfId="44"/>
    <tableColumn id="3" xr3:uid="{4654C616-BF29-4FBE-ABBC-AD781C0CA911}" uniqueName="3" name="unidades"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43"/>
    <tableColumn id="2" xr3:uid="{9D85792B-A183-4BD5-8900-B027F2CAD7AC}"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42"/>
    <tableColumn id="2" xr3:uid="{828A6535-9C97-4D1A-8E16-47CA8780DB23}"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41"/>
    <tableColumn id="2" xr3:uid="{2DB92A50-628F-4B2C-8775-98F74492D1F7}"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40"/>
    <tableColumn id="2" xr3:uid="{DBE785E0-7FAA-4868-9093-2D7D974747A8}"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39"/>
    <tableColumn id="2" xr3:uid="{D2B3D9AB-0C5D-426F-A0BB-DD9B59BC92F1}"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38"/>
    <tableColumn id="2" xr3:uid="{BDBE0265-073C-4945-AC26-8D879660FA72}"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37"/>
    <tableColumn id="2" xr3:uid="{BBB13EA5-166D-434A-8E40-A5B7EC3CCF4C}" name="DESCRIPC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36"/>
    <tableColumn id="2" xr3:uid="{A967D303-AE05-401E-BDB8-0561434D3FD3}" name="DESCRIPCIO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3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34">
  <autoFilter ref="G2:J91" xr:uid="{347CFDF9-3AD7-4869-99BE-65793DC5ADC2}"/>
  <sortState xmlns:xlrd2="http://schemas.microsoft.com/office/spreadsheetml/2017/richdata2" ref="G3:I91">
    <sortCondition ref="G2:G91"/>
  </sortState>
  <tableColumns count="4">
    <tableColumn id="1" xr3:uid="{0735319F-4729-4F28-8757-E9336107BAF5}" name="ID" dataDxfId="33"/>
    <tableColumn id="2" xr3:uid="{90A08047-F80C-4F7A-9944-01CDEF1A7566}" name="DESCRIPCION" dataDxfId="32"/>
    <tableColumn id="3" xr3:uid="{34A94A3A-7AF2-46A4-B2BA-23BBA8C3C1B0}" name="categoria" dataDxfId="31"/>
    <tableColumn id="4" xr3:uid="{A928467F-7932-4385-B551-DB1A6D42CE9D}" name="precio unitario" dataDxfId="3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29">
  <autoFilter ref="E4:E17" xr:uid="{351604C1-5D34-4668-8482-5A795ABDD2B3}"/>
  <tableColumns count="1">
    <tableColumn id="1" xr3:uid="{F3D7D971-BA11-4502-9FE9-28EFDA2353B0}" name="INTERVALOS" dataDxfId="2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27">
  <autoFilter ref="E19:E27" xr:uid="{8B732837-A501-4EBB-A32C-1B38547E358F}"/>
  <tableColumns count="1">
    <tableColumn id="1" xr3:uid="{9F30AE09-CCD3-4225-B611-2BF9C337CF02}" name="categoria"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drawing" Target="../drawings/drawing4.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3" Type="http://schemas.openxmlformats.org/officeDocument/2006/relationships/table" Target="../tables/table10.xml"/><Relationship Id="rId7" Type="http://schemas.openxmlformats.org/officeDocument/2006/relationships/table" Target="../tables/table14.xml"/><Relationship Id="rId12" Type="http://schemas.openxmlformats.org/officeDocument/2006/relationships/table" Target="../tables/table19.xml"/><Relationship Id="rId2" Type="http://schemas.openxmlformats.org/officeDocument/2006/relationships/table" Target="../tables/table9.xml"/><Relationship Id="rId1" Type="http://schemas.openxmlformats.org/officeDocument/2006/relationships/printerSettings" Target="../printerSettings/printerSettings5.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0" Type="http://schemas.openxmlformats.org/officeDocument/2006/relationships/table" Target="../tables/table17.xml"/><Relationship Id="rId4" Type="http://schemas.openxmlformats.org/officeDocument/2006/relationships/table" Target="../tables/table11.xml"/><Relationship Id="rId9"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58"/>
  <sheetViews>
    <sheetView showGridLines="0" zoomScaleNormal="100" workbookViewId="0">
      <selection activeCell="B19" sqref="B19"/>
    </sheetView>
  </sheetViews>
  <sheetFormatPr defaultRowHeight="15" x14ac:dyDescent="0.25"/>
  <cols>
    <col min="1" max="1" width="5.7109375" customWidth="1"/>
    <col min="2" max="2" width="9.42578125" customWidth="1"/>
    <col min="3" max="3" width="41.7109375" customWidth="1"/>
    <col min="4" max="4" width="13.42578125" customWidth="1"/>
    <col min="5" max="5" width="19.140625" bestFit="1" customWidth="1"/>
    <col min="6" max="6" width="23.7109375" customWidth="1"/>
    <col min="7" max="7" width="21.28515625" customWidth="1"/>
    <col min="8" max="8" width="5.7109375" customWidth="1"/>
  </cols>
  <sheetData>
    <row r="2" spans="1:8" ht="15" customHeight="1" x14ac:dyDescent="0.25">
      <c r="A2" s="28"/>
      <c r="B2" s="28"/>
      <c r="C2" s="28"/>
      <c r="D2" s="28"/>
      <c r="E2" s="28"/>
      <c r="F2" s="28"/>
      <c r="G2" s="28"/>
      <c r="H2" s="28"/>
    </row>
    <row r="3" spans="1:8" ht="15" customHeight="1" x14ac:dyDescent="0.25">
      <c r="A3" s="28"/>
      <c r="B3" s="83" t="s">
        <v>398</v>
      </c>
      <c r="C3" s="83"/>
      <c r="D3" s="83"/>
      <c r="E3" s="84" t="s">
        <v>405</v>
      </c>
      <c r="F3" s="84"/>
      <c r="G3" s="84"/>
      <c r="H3" s="28"/>
    </row>
    <row r="4" spans="1:8" ht="15" customHeight="1" x14ac:dyDescent="0.25">
      <c r="A4" s="28"/>
      <c r="B4" s="83"/>
      <c r="C4" s="83"/>
      <c r="D4" s="83"/>
      <c r="E4" s="84"/>
      <c r="F4" s="84"/>
      <c r="G4" s="84"/>
      <c r="H4" s="28"/>
    </row>
    <row r="5" spans="1:8" ht="15" customHeight="1" x14ac:dyDescent="0.25"/>
    <row r="6" spans="1:8" ht="15" customHeight="1" x14ac:dyDescent="0.25">
      <c r="B6" s="78" t="s">
        <v>399</v>
      </c>
      <c r="C6" s="78"/>
      <c r="D6" s="31"/>
      <c r="E6" s="31"/>
      <c r="F6" s="35" t="s">
        <v>380</v>
      </c>
      <c r="G6" s="39">
        <f ca="1">IF(factura_ultima="FACTURA_ID",1,factura_ultima)</f>
        <v>14</v>
      </c>
    </row>
    <row r="7" spans="1:8" x14ac:dyDescent="0.25">
      <c r="B7" s="78"/>
      <c r="C7" s="78"/>
      <c r="D7" s="31"/>
      <c r="E7" s="31"/>
      <c r="F7" s="38" t="s">
        <v>381</v>
      </c>
      <c r="G7" s="33">
        <f ca="1">TODAY()</f>
        <v>45417</v>
      </c>
    </row>
    <row r="8" spans="1:8" x14ac:dyDescent="0.25">
      <c r="B8" s="32"/>
      <c r="C8" s="32"/>
      <c r="D8" s="31"/>
      <c r="E8" s="31"/>
      <c r="F8" s="31"/>
      <c r="G8" s="31"/>
    </row>
    <row r="9" spans="1:8" x14ac:dyDescent="0.25">
      <c r="B9" s="34" t="s">
        <v>400</v>
      </c>
      <c r="C9" s="36">
        <v>3184278532</v>
      </c>
      <c r="D9" s="31"/>
      <c r="E9" s="31"/>
      <c r="F9" s="35" t="s">
        <v>382</v>
      </c>
      <c r="G9" s="40" t="s">
        <v>396</v>
      </c>
    </row>
    <row r="10" spans="1:8" x14ac:dyDescent="0.25">
      <c r="B10" s="42" t="s">
        <v>401</v>
      </c>
      <c r="C10" s="43" t="s">
        <v>402</v>
      </c>
      <c r="D10" s="31"/>
      <c r="E10" s="31"/>
      <c r="F10" s="38" t="s">
        <v>406</v>
      </c>
      <c r="G10" s="41" t="s">
        <v>408</v>
      </c>
    </row>
    <row r="11" spans="1:8" x14ac:dyDescent="0.25">
      <c r="B11" s="42" t="s">
        <v>403</v>
      </c>
      <c r="C11" s="43" t="s">
        <v>404</v>
      </c>
      <c r="D11" s="31"/>
      <c r="E11" s="31"/>
      <c r="F11" s="38" t="s">
        <v>407</v>
      </c>
      <c r="G11" s="37">
        <v>3138562603</v>
      </c>
    </row>
    <row r="14" spans="1:8" ht="16.5" x14ac:dyDescent="0.3">
      <c r="B14" s="27" t="s">
        <v>0</v>
      </c>
      <c r="C14" s="27" t="s">
        <v>1</v>
      </c>
      <c r="D14" s="27" t="s">
        <v>379</v>
      </c>
      <c r="E14" s="27" t="s">
        <v>397</v>
      </c>
      <c r="F14" s="27" t="s">
        <v>3</v>
      </c>
      <c r="G14" s="27" t="s">
        <v>214</v>
      </c>
      <c r="H14" s="27"/>
    </row>
    <row r="15" spans="1:8" ht="16.5" x14ac:dyDescent="0.3">
      <c r="B15" s="27" t="s">
        <v>134</v>
      </c>
      <c r="C15" s="50" t="str">
        <f>IFERROR(_xlfn.XLOOKUP(factura_tb[[#This Row],[ID]],total_leyenda[ID],total_leyenda[DESCRIPCION]),"")</f>
        <v>PALILLO BAMBOO 25 CM GRUESO</v>
      </c>
      <c r="D15" s="50">
        <v>60</v>
      </c>
      <c r="E15" s="51">
        <f>IFERROR(_xlfn.XLOOKUP(factura_tb[[#This Row],[ID]],total_leyenda[ID],total_leyenda[precio unitario]),"")</f>
        <v>325.97000000000003</v>
      </c>
      <c r="F15" s="52"/>
      <c r="G15" s="53">
        <f>IFERROR(ROUNDUP(factura_tb[[#This Row],[CANTIDAD]]*factura_tb[[#This Row],[VALOR UNITARIO]],2),"")</f>
        <v>19558.2</v>
      </c>
      <c r="H15" s="27"/>
    </row>
    <row r="16" spans="1:8" ht="16.5" x14ac:dyDescent="0.3">
      <c r="B16" s="27" t="s">
        <v>120</v>
      </c>
      <c r="C16" s="27" t="str">
        <f>IFERROR(_xlfn.XLOOKUP(factura_tb[[#This Row],[ID]],total_leyenda[ID],total_leyenda[DESCRIPCION]),"")</f>
        <v>PAPEL ALUMINIO 40 METROS</v>
      </c>
      <c r="D16" s="27">
        <v>5</v>
      </c>
      <c r="E16" s="48">
        <f>IFERROR(_xlfn.XLOOKUP(factura_tb[[#This Row],[ID]],total_leyenda[ID],total_leyenda[precio unitario]),"")</f>
        <v>544.63</v>
      </c>
      <c r="F16" s="30"/>
      <c r="G16" s="49">
        <f>IFERROR(ROUNDUP(factura_tb[[#This Row],[CANTIDAD]]*factura_tb[[#This Row],[VALOR UNITARIO]],2),"")</f>
        <v>2723.15</v>
      </c>
      <c r="H16" s="27"/>
    </row>
    <row r="17" spans="2:13" ht="16.5" x14ac:dyDescent="0.3">
      <c r="B17" s="27" t="s">
        <v>164</v>
      </c>
      <c r="C17" s="27" t="str">
        <f>IFERROR(_xlfn.XLOOKUP(factura_tb[[#This Row],[ID]],total_leyenda[ID],total_leyenda[DESCRIPCION]),"")</f>
        <v>VINIPEL STRESS 5X300</v>
      </c>
      <c r="D17" s="27">
        <v>5</v>
      </c>
      <c r="E17" s="48">
        <f>IFERROR(_xlfn.XLOOKUP(factura_tb[[#This Row],[ID]],total_leyenda[ID],total_leyenda[precio unitario]),"")</f>
        <v>676.68</v>
      </c>
      <c r="F17" s="30"/>
      <c r="G17" s="49">
        <f>IFERROR(ROUNDUP(factura_tb[[#This Row],[CANTIDAD]]*factura_tb[[#This Row],[VALOR UNITARIO]],2),"")</f>
        <v>3383.4</v>
      </c>
      <c r="H17" s="27"/>
    </row>
    <row r="18" spans="2:13" ht="16.5" x14ac:dyDescent="0.3">
      <c r="B18" s="27" t="s">
        <v>210</v>
      </c>
      <c r="C18" s="27" t="str">
        <f>IFERROR(_xlfn.XLOOKUP(factura_tb[[#This Row],[ID]],total_leyenda[ID],total_leyenda[DESCRIPCION]),"")</f>
        <v>BOLSA POLIPROPILENO TRANSP 8X15</v>
      </c>
      <c r="D18" s="27">
        <v>20</v>
      </c>
      <c r="E18" s="48">
        <f>IFERROR(_xlfn.XLOOKUP(factura_tb[[#This Row],[ID]],total_leyenda[ID],total_leyenda[precio unitario]),"")</f>
        <v>1003.57</v>
      </c>
      <c r="F18" s="30"/>
      <c r="G18" s="49">
        <f>IFERROR(ROUNDUP(factura_tb[[#This Row],[CANTIDAD]]*factura_tb[[#This Row],[VALOR UNITARIO]],2),"")</f>
        <v>20071.400000000001</v>
      </c>
      <c r="H18" s="27"/>
    </row>
    <row r="19" spans="2:13" ht="16.5" x14ac:dyDescent="0.3">
      <c r="B19" s="27"/>
      <c r="C19" s="27" t="str">
        <f>IFERROR(_xlfn.XLOOKUP(factura_tb[[#This Row],[ID]],total_leyenda[ID],total_leyenda[DESCRIPCION]),"")</f>
        <v/>
      </c>
      <c r="D19" s="27"/>
      <c r="E19" s="48" t="str">
        <f>IFERROR(_xlfn.XLOOKUP(factura_tb[[#This Row],[ID]],total_leyenda[ID],total_leyenda[precio unitario]),"")</f>
        <v/>
      </c>
      <c r="F19" s="30"/>
      <c r="G19" s="49" t="str">
        <f>IFERROR(ROUNDUP(factura_tb[[#This Row],[CANTIDAD]]*factura_tb[[#This Row],[VALOR UNITARIO]],2),"")</f>
        <v/>
      </c>
      <c r="H19" s="27"/>
    </row>
    <row r="20" spans="2:13" ht="16.5" x14ac:dyDescent="0.3">
      <c r="B20" s="27"/>
      <c r="C20" s="27" t="str">
        <f>IFERROR(_xlfn.XLOOKUP(factura_tb[[#This Row],[ID]],total_leyenda[ID],total_leyenda[DESCRIPCION]),"")</f>
        <v/>
      </c>
      <c r="D20" s="27"/>
      <c r="E20" s="48" t="str">
        <f>IFERROR(_xlfn.XLOOKUP(factura_tb[[#This Row],[ID]],total_leyenda[ID],total_leyenda[precio unitario]),"")</f>
        <v/>
      </c>
      <c r="F20" s="30"/>
      <c r="G20" s="49" t="str">
        <f>IFERROR(ROUNDUP(factura_tb[[#This Row],[CANTIDAD]]*factura_tb[[#This Row],[VALOR UNITARIO]],2),"")</f>
        <v/>
      </c>
      <c r="H20" s="27"/>
    </row>
    <row r="21" spans="2:13" ht="16.5" x14ac:dyDescent="0.3">
      <c r="B21" s="27"/>
      <c r="C21" s="27" t="str">
        <f>IFERROR(_xlfn.XLOOKUP(factura_tb[[#This Row],[ID]],total_leyenda[ID],total_leyenda[DESCRIPCION]),"")</f>
        <v/>
      </c>
      <c r="D21" s="27"/>
      <c r="E21" s="48" t="str">
        <f>IFERROR(_xlfn.XLOOKUP(factura_tb[[#This Row],[ID]],total_leyenda[ID],total_leyenda[precio unitario]),"")</f>
        <v/>
      </c>
      <c r="F21" s="30"/>
      <c r="G21" s="49" t="str">
        <f>IFERROR(ROUNDUP(factura_tb[[#This Row],[CANTIDAD]]*factura_tb[[#This Row],[VALOR UNITARIO]],2),"")</f>
        <v/>
      </c>
      <c r="H21" s="27"/>
    </row>
    <row r="22" spans="2:13" ht="16.5" x14ac:dyDescent="0.3">
      <c r="B22" s="27"/>
      <c r="C22" s="27" t="str">
        <f>IFERROR(_xlfn.XLOOKUP(factura_tb[[#This Row],[ID]],total_leyenda[ID],total_leyenda[DESCRIPCION]),"")</f>
        <v/>
      </c>
      <c r="D22" s="27"/>
      <c r="E22" s="48" t="str">
        <f>IFERROR(_xlfn.XLOOKUP(factura_tb[[#This Row],[ID]],total_leyenda[ID],total_leyenda[precio unitario]),"")</f>
        <v/>
      </c>
      <c r="F22" s="30"/>
      <c r="G22" s="49" t="str">
        <f>IFERROR(ROUNDUP(factura_tb[[#This Row],[CANTIDAD]]*factura_tb[[#This Row],[VALOR UNITARIO]],2),"")</f>
        <v/>
      </c>
      <c r="H22" s="27"/>
    </row>
    <row r="23" spans="2:13" ht="16.5" x14ac:dyDescent="0.3">
      <c r="B23" s="27"/>
      <c r="C23" s="27" t="str">
        <f>IFERROR(_xlfn.XLOOKUP(factura_tb[[#This Row],[ID]],total_leyenda[ID],total_leyenda[DESCRIPCION]),"")</f>
        <v/>
      </c>
      <c r="D23" s="27"/>
      <c r="E23" s="48" t="str">
        <f>IFERROR(_xlfn.XLOOKUP(factura_tb[[#This Row],[ID]],total_leyenda[ID],total_leyenda[precio unitario]),"")</f>
        <v/>
      </c>
      <c r="F23" s="30"/>
      <c r="G23" s="49" t="str">
        <f>IFERROR(ROUNDUP(factura_tb[[#This Row],[CANTIDAD]]*factura_tb[[#This Row],[VALOR UNITARIO]],2),"")</f>
        <v/>
      </c>
      <c r="H23" s="27"/>
      <c r="M23" t="s">
        <v>230</v>
      </c>
    </row>
    <row r="24" spans="2:13" ht="16.5" x14ac:dyDescent="0.3">
      <c r="B24" s="27"/>
      <c r="C24" s="27" t="str">
        <f>IFERROR(_xlfn.XLOOKUP(factura_tb[[#This Row],[ID]],total_leyenda[ID],total_leyenda[DESCRIPCION]),"")</f>
        <v/>
      </c>
      <c r="D24" s="27"/>
      <c r="E24" s="48" t="str">
        <f>IFERROR(_xlfn.XLOOKUP(factura_tb[[#This Row],[ID]],total_leyenda[ID],total_leyenda[precio unitario]),"")</f>
        <v/>
      </c>
      <c r="F24" s="30"/>
      <c r="G24" s="49" t="str">
        <f>IFERROR(ROUNDUP(factura_tb[[#This Row],[CANTIDAD]]*factura_tb[[#This Row],[VALOR UNITARIO]],2),"")</f>
        <v/>
      </c>
      <c r="H24" s="27"/>
    </row>
    <row r="25" spans="2:13" ht="16.5" x14ac:dyDescent="0.3">
      <c r="B25" s="27"/>
      <c r="C25" s="27" t="str">
        <f>IFERROR(_xlfn.XLOOKUP(factura_tb[[#This Row],[ID]],total_leyenda[ID],total_leyenda[DESCRIPCION]),"")</f>
        <v/>
      </c>
      <c r="D25" s="27"/>
      <c r="E25" s="48" t="str">
        <f>IFERROR(_xlfn.XLOOKUP(factura_tb[[#This Row],[ID]],total_leyenda[ID],total_leyenda[precio unitario]),"")</f>
        <v/>
      </c>
      <c r="F25" s="30"/>
      <c r="G25" s="49" t="str">
        <f>IFERROR(ROUNDUP(factura_tb[[#This Row],[CANTIDAD]]*factura_tb[[#This Row],[VALOR UNITARIO]],2),"")</f>
        <v/>
      </c>
      <c r="H25" s="27"/>
    </row>
    <row r="26" spans="2:13" ht="16.5" x14ac:dyDescent="0.3">
      <c r="B26" s="27"/>
      <c r="C26" s="27" t="str">
        <f>IFERROR(_xlfn.XLOOKUP(factura_tb[[#This Row],[ID]],total_leyenda[ID],total_leyenda[DESCRIPCION]),"")</f>
        <v/>
      </c>
      <c r="D26" s="27"/>
      <c r="E26" s="48" t="str">
        <f>IFERROR(_xlfn.XLOOKUP(factura_tb[[#This Row],[ID]],total_leyenda[ID],total_leyenda[precio unitario]),"")</f>
        <v/>
      </c>
      <c r="F26" s="30"/>
      <c r="G26" s="49" t="str">
        <f>IFERROR(ROUNDUP(factura_tb[[#This Row],[CANTIDAD]]*factura_tb[[#This Row],[VALOR UNITARIO]],2),"")</f>
        <v/>
      </c>
      <c r="H26" s="27"/>
    </row>
    <row r="27" spans="2:13" ht="16.5" x14ac:dyDescent="0.3">
      <c r="B27" s="27"/>
      <c r="C27" s="27" t="str">
        <f>IFERROR(_xlfn.XLOOKUP(factura_tb[[#This Row],[ID]],total_leyenda[ID],total_leyenda[DESCRIPCION]),"")</f>
        <v/>
      </c>
      <c r="D27" s="27"/>
      <c r="E27" s="48" t="str">
        <f>IFERROR(_xlfn.XLOOKUP(factura_tb[[#This Row],[ID]],total_leyenda[ID],total_leyenda[precio unitario]),"")</f>
        <v/>
      </c>
      <c r="F27" s="30"/>
      <c r="G27" s="49" t="str">
        <f>IFERROR(ROUNDUP(factura_tb[[#This Row],[CANTIDAD]]*factura_tb[[#This Row],[VALOR UNITARIO]],2),"")</f>
        <v/>
      </c>
      <c r="H27" s="27"/>
    </row>
    <row r="28" spans="2:13" ht="16.5" x14ac:dyDescent="0.3">
      <c r="B28" s="27"/>
      <c r="C28" s="27" t="str">
        <f>IFERROR(_xlfn.XLOOKUP(factura_tb[[#This Row],[ID]],total_leyenda[ID],total_leyenda[DESCRIPCION]),"")</f>
        <v/>
      </c>
      <c r="D28" s="27"/>
      <c r="E28" s="48" t="str">
        <f>IFERROR(_xlfn.XLOOKUP(factura_tb[[#This Row],[ID]],total_leyenda[ID],total_leyenda[precio unitario]),"")</f>
        <v/>
      </c>
      <c r="F28" s="30"/>
      <c r="G28" s="49" t="str">
        <f>IFERROR(ROUNDUP(factura_tb[[#This Row],[CANTIDAD]]*factura_tb[[#This Row],[VALOR UNITARIO]],2),"")</f>
        <v/>
      </c>
      <c r="H28" s="27"/>
    </row>
    <row r="29" spans="2:13" ht="16.5" x14ac:dyDescent="0.3">
      <c r="B29" s="27"/>
      <c r="C29" s="27" t="str">
        <f>IFERROR(_xlfn.XLOOKUP(factura_tb[[#This Row],[ID]],total_leyenda[ID],total_leyenda[DESCRIPCION]),"")</f>
        <v/>
      </c>
      <c r="D29" s="27"/>
      <c r="E29" s="48" t="str">
        <f>IFERROR(_xlfn.XLOOKUP(factura_tb[[#This Row],[ID]],total_leyenda[ID],total_leyenda[precio unitario]),"")</f>
        <v/>
      </c>
      <c r="F29" s="30"/>
      <c r="G29" s="49" t="str">
        <f>IFERROR(ROUNDUP(factura_tb[[#This Row],[CANTIDAD]]*factura_tb[[#This Row],[VALOR UNITARIO]],2),"")</f>
        <v/>
      </c>
      <c r="H29" s="27"/>
    </row>
    <row r="30" spans="2:13" ht="16.5" x14ac:dyDescent="0.3">
      <c r="B30" s="27"/>
      <c r="C30" s="27" t="str">
        <f>IFERROR(_xlfn.XLOOKUP(factura_tb[[#This Row],[ID]],total_leyenda[ID],total_leyenda[DESCRIPCION]),"")</f>
        <v/>
      </c>
      <c r="D30" s="27"/>
      <c r="E30" s="48" t="str">
        <f>IFERROR(_xlfn.XLOOKUP(factura_tb[[#This Row],[ID]],total_leyenda[ID],total_leyenda[precio unitario]),"")</f>
        <v/>
      </c>
      <c r="F30" s="30"/>
      <c r="G30" s="49" t="str">
        <f>IFERROR(ROUNDUP(factura_tb[[#This Row],[CANTIDAD]]*factura_tb[[#This Row],[VALOR UNITARIO]],2),"")</f>
        <v/>
      </c>
      <c r="H30" s="27"/>
    </row>
    <row r="31" spans="2:13" ht="16.5" x14ac:dyDescent="0.3">
      <c r="B31" s="27"/>
      <c r="C31" s="27" t="str">
        <f>IFERROR(_xlfn.XLOOKUP(factura_tb[[#This Row],[ID]],total_leyenda[ID],total_leyenda[DESCRIPCION]),"")</f>
        <v/>
      </c>
      <c r="D31" s="27"/>
      <c r="E31" s="48" t="str">
        <f>IFERROR(_xlfn.XLOOKUP(factura_tb[[#This Row],[ID]],total_leyenda[ID],total_leyenda[precio unitario]),"")</f>
        <v/>
      </c>
      <c r="F31" s="30"/>
      <c r="G31" s="49" t="str">
        <f>IFERROR(ROUNDUP(factura_tb[[#This Row],[CANTIDAD]]*factura_tb[[#This Row],[VALOR UNITARIO]],2),"")</f>
        <v/>
      </c>
      <c r="H31" s="27"/>
    </row>
    <row r="32" spans="2:13" ht="16.5" x14ac:dyDescent="0.3">
      <c r="B32" s="27"/>
      <c r="C32" s="27" t="str">
        <f>IFERROR(_xlfn.XLOOKUP(factura_tb[[#This Row],[ID]],total_leyenda[ID],total_leyenda[DESCRIPCION]),"")</f>
        <v/>
      </c>
      <c r="D32" s="27"/>
      <c r="E32" s="48" t="str">
        <f>IFERROR(_xlfn.XLOOKUP(factura_tb[[#This Row],[ID]],total_leyenda[ID],total_leyenda[precio unitario]),"")</f>
        <v/>
      </c>
      <c r="F32" s="30"/>
      <c r="G32" s="49" t="str">
        <f>IFERROR(ROUNDUP(factura_tb[[#This Row],[CANTIDAD]]*factura_tb[[#This Row],[VALOR UNITARIO]],2),"")</f>
        <v/>
      </c>
      <c r="H32" s="27"/>
    </row>
    <row r="33" spans="2:12" ht="16.5" x14ac:dyDescent="0.3">
      <c r="B33" s="27"/>
      <c r="C33" s="27" t="str">
        <f>IFERROR(_xlfn.XLOOKUP(factura_tb[[#This Row],[ID]],total_leyenda[ID],total_leyenda[DESCRIPCION]),"")</f>
        <v/>
      </c>
      <c r="D33" s="27"/>
      <c r="E33" s="48" t="str">
        <f>IFERROR(_xlfn.XLOOKUP(factura_tb[[#This Row],[ID]],total_leyenda[ID],total_leyenda[precio unitario]),"")</f>
        <v/>
      </c>
      <c r="F33" s="30"/>
      <c r="G33" s="49" t="str">
        <f>IFERROR(ROUNDUP(factura_tb[[#This Row],[CANTIDAD]]*factura_tb[[#This Row],[VALOR UNITARIO]],2),"")</f>
        <v/>
      </c>
      <c r="H33" s="27"/>
    </row>
    <row r="34" spans="2:12" ht="16.5" x14ac:dyDescent="0.3">
      <c r="B34" s="27"/>
      <c r="C34" s="27"/>
      <c r="D34" s="27"/>
      <c r="E34" s="27"/>
      <c r="F34" s="27"/>
      <c r="G34" s="27"/>
      <c r="H34" s="27"/>
    </row>
    <row r="35" spans="2:12" ht="16.5" x14ac:dyDescent="0.3">
      <c r="B35" s="27"/>
      <c r="C35" s="27"/>
      <c r="D35" s="27"/>
      <c r="E35" s="27"/>
      <c r="F35" s="30"/>
      <c r="G35" s="27"/>
      <c r="H35" s="27"/>
      <c r="I35" s="57"/>
      <c r="J35" s="57"/>
      <c r="K35" s="57"/>
      <c r="L35" s="57"/>
    </row>
    <row r="36" spans="2:12" ht="16.5" x14ac:dyDescent="0.3">
      <c r="H36" s="27"/>
      <c r="I36" s="57"/>
      <c r="J36" s="57"/>
      <c r="K36" s="57"/>
      <c r="L36" s="57"/>
    </row>
    <row r="37" spans="2:12" ht="16.5" x14ac:dyDescent="0.3">
      <c r="E37" s="79" t="s">
        <v>409</v>
      </c>
      <c r="F37" s="80"/>
      <c r="G37" s="92">
        <f>G41-G39</f>
        <v>37057.5</v>
      </c>
      <c r="H37" s="27"/>
      <c r="I37" s="57"/>
      <c r="J37" s="57"/>
      <c r="K37" s="57"/>
      <c r="L37" s="57"/>
    </row>
    <row r="38" spans="2:12" ht="16.5" customHeight="1" x14ac:dyDescent="0.3">
      <c r="E38" s="81"/>
      <c r="F38" s="82"/>
      <c r="G38" s="93"/>
      <c r="H38" s="27"/>
      <c r="I38" s="57"/>
      <c r="J38" s="57"/>
      <c r="K38" s="57"/>
      <c r="L38" s="57"/>
    </row>
    <row r="39" spans="2:12" ht="16.5" customHeight="1" x14ac:dyDescent="0.3">
      <c r="E39" s="79" t="s">
        <v>410</v>
      </c>
      <c r="F39" s="80"/>
      <c r="G39" s="92">
        <f>ROUND(G41*0.19,2)</f>
        <v>8692.5</v>
      </c>
      <c r="H39" s="27"/>
      <c r="I39" s="57"/>
      <c r="J39" s="57"/>
      <c r="K39" s="57"/>
      <c r="L39" s="57"/>
    </row>
    <row r="40" spans="2:12" ht="16.5" customHeight="1" x14ac:dyDescent="0.3">
      <c r="E40" s="81"/>
      <c r="F40" s="82"/>
      <c r="G40" s="93"/>
      <c r="H40" s="27"/>
      <c r="I40" s="57"/>
      <c r="J40" s="57"/>
      <c r="K40" s="57"/>
      <c r="L40" s="57"/>
    </row>
    <row r="41" spans="2:12" ht="16.5" x14ac:dyDescent="0.3">
      <c r="E41" s="79" t="s">
        <v>411</v>
      </c>
      <c r="F41" s="80"/>
      <c r="G41" s="94">
        <f>ROUNDUP(SUM(factura_tb[TOTAL]),0) + IF(VALUE(J41)&gt;50,100-J41,50-J41)</f>
        <v>45750</v>
      </c>
      <c r="H41" s="27"/>
      <c r="I41" s="57"/>
      <c r="J41" s="57" t="str">
        <f>RIGHT(_xlfn.VALUETOTEXT(ROUNDUP(SUM(factura_tb[TOTAL]),0)),2)</f>
        <v>37</v>
      </c>
      <c r="K41" s="57"/>
      <c r="L41" s="57"/>
    </row>
    <row r="42" spans="2:12" ht="16.5" x14ac:dyDescent="0.3">
      <c r="E42" s="81"/>
      <c r="F42" s="82"/>
      <c r="G42" s="95"/>
      <c r="H42" s="27"/>
      <c r="I42" s="57"/>
      <c r="J42" s="57"/>
      <c r="K42" s="57"/>
      <c r="L42" s="57"/>
    </row>
    <row r="43" spans="2:12" ht="16.5" x14ac:dyDescent="0.3">
      <c r="E43" s="44"/>
      <c r="F43" s="44"/>
      <c r="G43" s="45"/>
      <c r="H43" s="27"/>
      <c r="I43" s="57"/>
      <c r="J43" s="57"/>
      <c r="K43" s="57"/>
      <c r="L43" s="57"/>
    </row>
    <row r="44" spans="2:12" ht="16.5" x14ac:dyDescent="0.3">
      <c r="E44" s="44"/>
      <c r="F44" s="44"/>
      <c r="G44" s="45"/>
      <c r="H44" s="27"/>
      <c r="I44" s="57"/>
      <c r="J44" s="57"/>
      <c r="K44" s="57"/>
      <c r="L44" s="57"/>
    </row>
    <row r="45" spans="2:12" ht="16.5" x14ac:dyDescent="0.3">
      <c r="E45" s="44"/>
      <c r="F45" s="44"/>
      <c r="G45" s="45"/>
      <c r="H45" s="27"/>
    </row>
    <row r="46" spans="2:12" ht="16.5" x14ac:dyDescent="0.3">
      <c r="E46" s="44"/>
      <c r="F46" s="44"/>
      <c r="G46" s="45"/>
      <c r="H46" s="27"/>
    </row>
    <row r="47" spans="2:12" ht="16.5" x14ac:dyDescent="0.3">
      <c r="E47" s="44"/>
      <c r="F47" s="44"/>
      <c r="G47" s="45"/>
      <c r="H47" s="27"/>
    </row>
    <row r="48" spans="2:12" ht="16.5" x14ac:dyDescent="0.3">
      <c r="E48" s="44"/>
      <c r="F48" s="44"/>
      <c r="G48" s="45"/>
      <c r="H48" s="27"/>
    </row>
    <row r="49" spans="2:8" ht="16.5" x14ac:dyDescent="0.3">
      <c r="E49" s="44"/>
      <c r="F49" s="44"/>
      <c r="G49" s="45"/>
      <c r="H49" s="27"/>
    </row>
    <row r="50" spans="2:8" ht="16.5" customHeight="1" x14ac:dyDescent="0.3">
      <c r="H50" s="27"/>
    </row>
    <row r="51" spans="2:8" ht="15" customHeight="1" x14ac:dyDescent="0.25">
      <c r="B51" s="91" t="s">
        <v>412</v>
      </c>
      <c r="C51" s="46" t="s">
        <v>413</v>
      </c>
    </row>
    <row r="52" spans="2:8" ht="15.75" x14ac:dyDescent="0.25">
      <c r="B52" s="91"/>
      <c r="C52" s="47" t="s">
        <v>415</v>
      </c>
    </row>
    <row r="57" spans="2:8" x14ac:dyDescent="0.25">
      <c r="B57" s="85" t="s">
        <v>414</v>
      </c>
      <c r="C57" s="86"/>
      <c r="D57" s="86"/>
      <c r="E57" s="86"/>
      <c r="F57" s="86"/>
      <c r="G57" s="87"/>
    </row>
    <row r="58" spans="2:8" x14ac:dyDescent="0.25">
      <c r="B58" s="88"/>
      <c r="C58" s="89"/>
      <c r="D58" s="89"/>
      <c r="E58" s="89"/>
      <c r="F58" s="89"/>
      <c r="G58" s="90"/>
    </row>
  </sheetData>
  <mergeCells count="11">
    <mergeCell ref="B6:C7"/>
    <mergeCell ref="E37:F38"/>
    <mergeCell ref="B3:D4"/>
    <mergeCell ref="E3:G4"/>
    <mergeCell ref="B57:G58"/>
    <mergeCell ref="B51:B52"/>
    <mergeCell ref="G37:G38"/>
    <mergeCell ref="E39:F40"/>
    <mergeCell ref="G39:G40"/>
    <mergeCell ref="E41:F42"/>
    <mergeCell ref="G41:G42"/>
  </mergeCells>
  <dataValidations count="1">
    <dataValidation type="list" allowBlank="1" showInputMessage="1" showErrorMessage="1" sqref="B15:B33 B35" xr:uid="{EA40DAB7-FE6C-4A20-BC48-9C065C1C7139}">
      <formula1>id_product</formula1>
    </dataValidation>
  </dataValidations>
  <pageMargins left="0.25" right="0.25" top="0.75" bottom="0.75" header="0.3" footer="0.3"/>
  <pageSetup scale="73" fitToHeight="0"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ED8F-4ADC-4A62-B31C-14E307618F7C}">
  <sheetPr codeName="Sheet10">
    <pageSetUpPr fitToPage="1"/>
  </sheetPr>
  <dimension ref="B2:K274"/>
  <sheetViews>
    <sheetView showGridLines="0" tabSelected="1" topLeftCell="A17" zoomScaleNormal="100" workbookViewId="0">
      <selection activeCell="G30" sqref="G30"/>
    </sheetView>
  </sheetViews>
  <sheetFormatPr defaultRowHeight="15" x14ac:dyDescent="0.25"/>
  <cols>
    <col min="2" max="2" width="14.7109375" customWidth="1"/>
    <col min="3" max="3" width="8.28515625" customWidth="1"/>
    <col min="4" max="4" width="1.28515625" customWidth="1"/>
    <col min="5" max="5" width="8.5703125" customWidth="1"/>
    <col min="6" max="6" width="0.85546875" customWidth="1"/>
    <col min="7" max="7" width="12.7109375" customWidth="1"/>
    <col min="8" max="8" width="21.42578125" bestFit="1" customWidth="1"/>
    <col min="10" max="10" width="21.28515625" bestFit="1" customWidth="1"/>
  </cols>
  <sheetData>
    <row r="2" spans="2:7" ht="18" customHeight="1" x14ac:dyDescent="0.25"/>
    <row r="3" spans="2:7" ht="16.5" customHeight="1" x14ac:dyDescent="0.25">
      <c r="B3" s="96" t="s">
        <v>453</v>
      </c>
      <c r="C3" s="96"/>
      <c r="D3" s="96"/>
      <c r="E3" s="96"/>
      <c r="F3" s="96"/>
      <c r="G3" s="96"/>
    </row>
    <row r="4" spans="2:7" ht="15" customHeight="1" x14ac:dyDescent="0.25">
      <c r="B4" s="112" t="s">
        <v>398</v>
      </c>
      <c r="C4" s="112"/>
      <c r="D4" s="112"/>
      <c r="E4" s="112"/>
      <c r="F4" s="112"/>
      <c r="G4" s="112"/>
    </row>
    <row r="5" spans="2:7" ht="15" customHeight="1" x14ac:dyDescent="0.25">
      <c r="B5" s="112"/>
      <c r="C5" s="112"/>
      <c r="D5" s="112"/>
      <c r="E5" s="112"/>
      <c r="F5" s="112"/>
      <c r="G5" s="112"/>
    </row>
    <row r="6" spans="2:7" ht="15" customHeight="1" x14ac:dyDescent="0.25">
      <c r="B6" s="111" t="s">
        <v>399</v>
      </c>
      <c r="C6" s="111"/>
      <c r="D6" s="111"/>
      <c r="E6" s="111"/>
      <c r="F6" s="111"/>
      <c r="G6" s="111"/>
    </row>
    <row r="7" spans="2:7" ht="15" customHeight="1" x14ac:dyDescent="0.25">
      <c r="B7" s="111"/>
      <c r="C7" s="111"/>
      <c r="D7" s="111"/>
      <c r="E7" s="111"/>
      <c r="F7" s="111"/>
      <c r="G7" s="111"/>
    </row>
    <row r="8" spans="2:7" ht="15" customHeight="1" x14ac:dyDescent="0.25">
      <c r="B8" s="111"/>
      <c r="C8" s="111"/>
      <c r="D8" s="111"/>
      <c r="E8" s="111"/>
      <c r="F8" s="111"/>
      <c r="G8" s="111"/>
    </row>
    <row r="9" spans="2:7" x14ac:dyDescent="0.25">
      <c r="B9" s="96" t="s">
        <v>453</v>
      </c>
      <c r="C9" s="96"/>
      <c r="D9" s="96"/>
      <c r="E9" s="96"/>
      <c r="F9" s="96"/>
      <c r="G9" s="96"/>
    </row>
    <row r="10" spans="2:7" ht="15.75" x14ac:dyDescent="0.25">
      <c r="B10" s="113" t="s">
        <v>454</v>
      </c>
      <c r="C10" s="113"/>
      <c r="D10" s="113"/>
      <c r="E10" s="113"/>
      <c r="F10" s="113"/>
      <c r="G10" s="113"/>
    </row>
    <row r="11" spans="2:7" ht="15" customHeight="1" x14ac:dyDescent="0.25">
      <c r="B11" s="110" t="s">
        <v>402</v>
      </c>
      <c r="C11" s="110"/>
      <c r="D11" s="110"/>
      <c r="E11" s="110"/>
      <c r="F11" s="110"/>
      <c r="G11" s="110"/>
    </row>
    <row r="12" spans="2:7" ht="15" customHeight="1" x14ac:dyDescent="0.25">
      <c r="B12" s="110">
        <v>3184278532</v>
      </c>
      <c r="C12" s="110"/>
      <c r="D12" s="110"/>
      <c r="E12" s="110"/>
      <c r="F12" s="110"/>
      <c r="G12" s="110"/>
    </row>
    <row r="13" spans="2:7" ht="15.75" x14ac:dyDescent="0.25">
      <c r="B13" s="110" t="s">
        <v>404</v>
      </c>
      <c r="C13" s="110"/>
      <c r="D13" s="110"/>
      <c r="E13" s="110"/>
      <c r="F13" s="110"/>
      <c r="G13" s="110"/>
    </row>
    <row r="14" spans="2:7" x14ac:dyDescent="0.25">
      <c r="B14" s="96" t="s">
        <v>453</v>
      </c>
      <c r="C14" s="96"/>
      <c r="D14" s="96"/>
      <c r="E14" s="96"/>
      <c r="F14" s="96"/>
      <c r="G14" s="96"/>
    </row>
    <row r="15" spans="2:7" ht="18.75" x14ac:dyDescent="0.3">
      <c r="B15" s="109" t="s">
        <v>554</v>
      </c>
      <c r="C15" s="109"/>
      <c r="D15" s="109"/>
      <c r="E15" s="109"/>
      <c r="F15" s="109"/>
      <c r="G15" s="109"/>
    </row>
    <row r="16" spans="2:7" ht="18.75" x14ac:dyDescent="0.25">
      <c r="B16" s="107"/>
      <c r="C16" s="107"/>
      <c r="D16" s="107"/>
      <c r="E16" s="107"/>
      <c r="F16" s="107"/>
      <c r="G16" s="107"/>
    </row>
    <row r="17" spans="2:10" ht="18.75" x14ac:dyDescent="0.3">
      <c r="B17" s="109" t="str">
        <f ca="1">_xlfn.CONCAT("N. Factura: ",FACTURA!G6)</f>
        <v>N. Factura: 14</v>
      </c>
      <c r="C17" s="109"/>
      <c r="D17" s="109"/>
      <c r="E17" s="109"/>
      <c r="F17" s="109"/>
      <c r="G17" s="109"/>
    </row>
    <row r="18" spans="2:10" x14ac:dyDescent="0.25">
      <c r="B18" s="67"/>
      <c r="C18" s="67"/>
      <c r="D18" s="67"/>
      <c r="E18" s="67"/>
      <c r="F18" s="67"/>
      <c r="G18" s="67"/>
    </row>
    <row r="19" spans="2:10" ht="15.75" x14ac:dyDescent="0.25">
      <c r="B19" s="69" t="s">
        <v>460</v>
      </c>
      <c r="C19" s="104">
        <f ca="1">TODAY()</f>
        <v>45417</v>
      </c>
      <c r="D19" s="104"/>
      <c r="E19" s="104"/>
      <c r="F19" s="104"/>
      <c r="G19" s="104"/>
    </row>
    <row r="20" spans="2:10" ht="15.75" x14ac:dyDescent="0.25">
      <c r="B20" s="69" t="s">
        <v>461</v>
      </c>
      <c r="C20" s="104">
        <f ca="1">TODAY()</f>
        <v>45417</v>
      </c>
      <c r="D20" s="104"/>
      <c r="E20" s="104"/>
      <c r="F20" s="104"/>
      <c r="G20" s="104"/>
    </row>
    <row r="21" spans="2:10" ht="15.75" x14ac:dyDescent="0.25">
      <c r="B21" s="69" t="s">
        <v>462</v>
      </c>
      <c r="C21" s="105">
        <f ca="1">NOW()</f>
        <v>45417.81004236111</v>
      </c>
      <c r="D21" s="105"/>
      <c r="E21" s="105"/>
      <c r="F21" s="105"/>
      <c r="G21" s="105"/>
    </row>
    <row r="22" spans="2:10" ht="15.75" x14ac:dyDescent="0.25">
      <c r="B22" s="69" t="s">
        <v>463</v>
      </c>
      <c r="C22" s="106" t="s">
        <v>446</v>
      </c>
      <c r="D22" s="106"/>
      <c r="E22" s="106"/>
      <c r="F22" s="106"/>
      <c r="G22" s="106"/>
      <c r="H22" s="31"/>
      <c r="J22" s="37"/>
    </row>
    <row r="23" spans="2:10" x14ac:dyDescent="0.25">
      <c r="B23" s="101" t="s">
        <v>455</v>
      </c>
      <c r="C23" s="101"/>
      <c r="D23" s="101"/>
      <c r="E23" s="101"/>
      <c r="F23" s="101"/>
      <c r="G23" s="101"/>
      <c r="H23" s="31"/>
      <c r="I23" s="35"/>
      <c r="J23" s="37"/>
    </row>
    <row r="24" spans="2:10" ht="15.75" x14ac:dyDescent="0.25">
      <c r="B24" s="69" t="s">
        <v>456</v>
      </c>
      <c r="C24" s="106" t="s">
        <v>396</v>
      </c>
      <c r="D24" s="106"/>
      <c r="E24" s="106"/>
      <c r="F24" s="106"/>
      <c r="G24" s="106"/>
      <c r="H24" s="31"/>
      <c r="I24" s="35"/>
      <c r="J24" s="37"/>
    </row>
    <row r="25" spans="2:10" ht="15.75" x14ac:dyDescent="0.25">
      <c r="B25" s="69" t="s">
        <v>457</v>
      </c>
      <c r="C25" s="106">
        <v>1234788444</v>
      </c>
      <c r="D25" s="106"/>
      <c r="E25" s="106"/>
      <c r="F25" s="106"/>
      <c r="G25" s="106"/>
      <c r="H25" s="31"/>
      <c r="I25" s="35"/>
      <c r="J25" s="37"/>
    </row>
    <row r="26" spans="2:10" ht="15.75" x14ac:dyDescent="0.25">
      <c r="B26" s="69" t="s">
        <v>458</v>
      </c>
      <c r="C26" s="106" t="s">
        <v>408</v>
      </c>
      <c r="D26" s="106"/>
      <c r="E26" s="106"/>
      <c r="F26" s="106"/>
      <c r="G26" s="106"/>
      <c r="H26" s="31"/>
      <c r="I26" s="35"/>
      <c r="J26" s="37"/>
    </row>
    <row r="27" spans="2:10" ht="15.75" x14ac:dyDescent="0.25">
      <c r="B27" s="69" t="s">
        <v>459</v>
      </c>
      <c r="C27" s="106">
        <v>3138562603</v>
      </c>
      <c r="D27" s="106"/>
      <c r="E27" s="106"/>
      <c r="F27" s="106"/>
      <c r="G27" s="106"/>
    </row>
    <row r="28" spans="2:10" x14ac:dyDescent="0.25">
      <c r="B28" s="31"/>
      <c r="G28" s="37"/>
    </row>
    <row r="29" spans="2:10" customFormat="1" ht="15.75" thickBot="1" x14ac:dyDescent="0.3">
      <c r="B29" s="77" t="s">
        <v>464</v>
      </c>
      <c r="C29" s="77"/>
      <c r="D29" s="77"/>
      <c r="E29" s="70" t="s">
        <v>447</v>
      </c>
      <c r="F29" s="63"/>
      <c r="G29" s="119" t="s">
        <v>448</v>
      </c>
    </row>
    <row r="30" spans="2:10" customFormat="1" ht="15" customHeight="1" x14ac:dyDescent="0.25">
      <c r="B30" s="117"/>
      <c r="C30" s="117"/>
      <c r="D30" s="76"/>
      <c r="E30" s="73"/>
      <c r="F30" s="73"/>
      <c r="G30" s="74"/>
    </row>
    <row r="31" spans="2:10" customFormat="1" ht="20.25" customHeight="1" x14ac:dyDescent="0.25">
      <c r="B31" s="107" t="str">
        <f>_xlfn.CONCAT("SON ", "CUARENTA Y CINCO MIL OCHO CIENTOS", " PESOS" )</f>
        <v>SON CUARENTA Y CINCO MIL OCHO CIENTOS PESOS</v>
      </c>
      <c r="C31" s="107"/>
      <c r="D31" s="107"/>
      <c r="E31" s="107"/>
      <c r="F31" s="107"/>
      <c r="G31" s="107"/>
    </row>
    <row r="32" spans="2:10" customFormat="1" ht="20.25" customHeight="1" x14ac:dyDescent="0.25">
      <c r="B32" s="107"/>
      <c r="C32" s="107"/>
      <c r="D32" s="107"/>
      <c r="E32" s="107"/>
      <c r="F32" s="107"/>
      <c r="G32" s="107"/>
    </row>
    <row r="33" spans="2:7" customFormat="1" x14ac:dyDescent="0.25">
      <c r="B33" s="31"/>
      <c r="G33" s="37"/>
    </row>
    <row r="34" spans="2:7" customFormat="1" ht="18.75" x14ac:dyDescent="0.3">
      <c r="B34" s="97" t="str">
        <f>H73</f>
        <v>SUBTOTAL:</v>
      </c>
      <c r="C34" s="97"/>
      <c r="D34" s="75"/>
      <c r="E34" s="98">
        <f>J73</f>
        <v>37087.47</v>
      </c>
      <c r="F34" s="98"/>
      <c r="G34" s="98"/>
    </row>
    <row r="35" spans="2:7" customFormat="1" ht="18.75" x14ac:dyDescent="0.3">
      <c r="B35" s="97" t="s">
        <v>451</v>
      </c>
      <c r="C35" s="97"/>
      <c r="D35" s="75"/>
      <c r="E35" s="99"/>
      <c r="F35" s="99"/>
      <c r="G35" s="99"/>
    </row>
    <row r="36" spans="2:7" customFormat="1" ht="18.75" x14ac:dyDescent="0.3">
      <c r="B36" s="97" t="str">
        <f>H75</f>
        <v>IVA 19%:</v>
      </c>
      <c r="C36" s="97"/>
      <c r="D36" s="75"/>
      <c r="E36" s="98">
        <f>J75</f>
        <v>8699.5300000000007</v>
      </c>
      <c r="F36" s="98"/>
      <c r="G36" s="98"/>
    </row>
    <row r="37" spans="2:7" customFormat="1" ht="18.75" x14ac:dyDescent="0.3">
      <c r="B37" s="97" t="s">
        <v>450</v>
      </c>
      <c r="C37" s="97"/>
      <c r="D37" s="75"/>
      <c r="E37" s="99"/>
      <c r="F37" s="99"/>
      <c r="G37" s="99"/>
    </row>
    <row r="38" spans="2:7" customFormat="1" ht="18.75" x14ac:dyDescent="0.3">
      <c r="B38" s="97" t="str">
        <f>H77</f>
        <v>TOTAL:</v>
      </c>
      <c r="C38" s="97"/>
      <c r="D38" s="75"/>
      <c r="E38" s="100">
        <f>J77</f>
        <v>45787</v>
      </c>
      <c r="F38" s="100"/>
      <c r="G38" s="100"/>
    </row>
    <row r="39" spans="2:7" customFormat="1" x14ac:dyDescent="0.25">
      <c r="B39" s="31"/>
      <c r="C39" s="68"/>
      <c r="D39" s="68"/>
      <c r="E39" s="68"/>
      <c r="F39" s="68"/>
      <c r="G39" s="66"/>
    </row>
    <row r="40" spans="2:7" customFormat="1" x14ac:dyDescent="0.25">
      <c r="B40" s="31"/>
      <c r="G40" s="37"/>
    </row>
    <row r="41" spans="2:7" customFormat="1" x14ac:dyDescent="0.25">
      <c r="B41" s="101" t="s">
        <v>455</v>
      </c>
      <c r="C41" s="102"/>
      <c r="D41" s="102"/>
      <c r="E41" s="102"/>
      <c r="F41" s="102"/>
      <c r="G41" s="102"/>
    </row>
    <row r="42" spans="2:7" customFormat="1" x14ac:dyDescent="0.25">
      <c r="B42" s="103" t="s">
        <v>452</v>
      </c>
      <c r="C42" s="103"/>
      <c r="D42" s="103"/>
      <c r="E42" s="103"/>
      <c r="F42" s="103"/>
      <c r="G42" s="103"/>
    </row>
    <row r="43" spans="2:7" customFormat="1" x14ac:dyDescent="0.25">
      <c r="B43" s="103"/>
      <c r="C43" s="103"/>
      <c r="D43" s="103"/>
      <c r="E43" s="103"/>
      <c r="F43" s="103"/>
      <c r="G43" s="103"/>
    </row>
    <row r="44" spans="2:7" customFormat="1" x14ac:dyDescent="0.25">
      <c r="B44" s="101" t="s">
        <v>455</v>
      </c>
      <c r="C44" s="102"/>
      <c r="D44" s="102"/>
      <c r="E44" s="102"/>
      <c r="F44" s="102"/>
      <c r="G44" s="102"/>
    </row>
    <row r="45" spans="2:7" customFormat="1" x14ac:dyDescent="0.25">
      <c r="B45" s="64"/>
      <c r="C45" s="65"/>
      <c r="D45" s="65"/>
      <c r="E45" s="65"/>
      <c r="F45" s="65"/>
      <c r="G45" s="65"/>
    </row>
    <row r="46" spans="2:7" customFormat="1" x14ac:dyDescent="0.25">
      <c r="B46" s="96" t="s">
        <v>453</v>
      </c>
      <c r="C46" s="96"/>
      <c r="D46" s="96"/>
      <c r="E46" s="96"/>
      <c r="F46" s="96"/>
      <c r="G46" s="96"/>
    </row>
    <row r="47" spans="2:7" customFormat="1" x14ac:dyDescent="0.25">
      <c r="B47" s="62"/>
      <c r="C47" s="61"/>
      <c r="D47" s="61"/>
      <c r="E47" s="61"/>
      <c r="F47" s="61"/>
      <c r="G47" s="61"/>
    </row>
    <row r="48" spans="2:7" customFormat="1" x14ac:dyDescent="0.25">
      <c r="B48" s="62"/>
      <c r="C48" s="61"/>
      <c r="D48" s="61"/>
      <c r="E48" s="61"/>
      <c r="F48" s="61"/>
      <c r="G48" s="61"/>
    </row>
    <row r="50" spans="2:11" customFormat="1" ht="16.5" x14ac:dyDescent="0.3">
      <c r="B50" s="27" t="s">
        <v>0</v>
      </c>
      <c r="C50" s="27" t="s">
        <v>1</v>
      </c>
      <c r="D50" s="27" t="s">
        <v>556</v>
      </c>
      <c r="E50" s="27" t="s">
        <v>449</v>
      </c>
      <c r="F50" s="27" t="s">
        <v>555</v>
      </c>
      <c r="G50" s="27" t="s">
        <v>379</v>
      </c>
      <c r="H50" s="27" t="s">
        <v>397</v>
      </c>
      <c r="I50" s="27" t="s">
        <v>3</v>
      </c>
      <c r="J50" s="27" t="s">
        <v>214</v>
      </c>
      <c r="K50" s="27"/>
    </row>
    <row r="51" spans="2:11" customFormat="1" ht="16.5" x14ac:dyDescent="0.3">
      <c r="B51" s="27" t="s">
        <v>134</v>
      </c>
      <c r="C51" s="50" t="str">
        <f>IFERROR(_xlfn.XLOOKUP(factura_tb22[[#This Row],[ID]],total_leyenda[ID],total_leyenda[DESCRIPCION]),"")</f>
        <v>PALILLO BAMBOO 25 CM GRUESO</v>
      </c>
      <c r="D51" s="50"/>
      <c r="E51" s="50"/>
      <c r="F51" s="50"/>
      <c r="G51" s="50">
        <v>60</v>
      </c>
      <c r="H51" s="51">
        <f>IFERROR(_xlfn.XLOOKUP(factura_tb22[[#This Row],[ID]],total_leyenda[ID],total_leyenda[precio unitario]),"")</f>
        <v>325.97000000000003</v>
      </c>
      <c r="I51" s="52"/>
      <c r="J51" s="53">
        <f>IFERROR(ROUNDUP(factura_tb22[[#This Row],[CANTIDAD]]*factura_tb22[[#This Row],[VALOR UNITARIO]],2),"")</f>
        <v>19558.2</v>
      </c>
      <c r="K51" s="27"/>
    </row>
    <row r="52" spans="2:11" customFormat="1" ht="17.25" thickBot="1" x14ac:dyDescent="0.35">
      <c r="B52" s="27" t="s">
        <v>120</v>
      </c>
      <c r="C52" s="27" t="str">
        <f>IFERROR(_xlfn.XLOOKUP(factura_tb22[[#This Row],[ID]],total_leyenda[ID],total_leyenda[DESCRIPCION]),"")</f>
        <v>PAPEL ALUMINIO 40 METROS</v>
      </c>
      <c r="D52" s="27"/>
      <c r="E52" s="27"/>
      <c r="F52" s="27"/>
      <c r="G52" s="27">
        <v>5</v>
      </c>
      <c r="H52" s="48">
        <f>IFERROR(_xlfn.XLOOKUP(factura_tb22[[#This Row],[ID]],total_leyenda[ID],total_leyenda[precio unitario]),"")</f>
        <v>544.63</v>
      </c>
      <c r="I52" s="30"/>
      <c r="J52" s="49">
        <f>IFERROR(ROUNDUP(factura_tb22[[#This Row],[CANTIDAD]]*factura_tb22[[#This Row],[VALOR UNITARIO]],2),"")</f>
        <v>2723.15</v>
      </c>
      <c r="K52" s="27"/>
    </row>
    <row r="53" spans="2:11" customFormat="1" ht="16.5" x14ac:dyDescent="0.3">
      <c r="B53" s="27" t="s">
        <v>164</v>
      </c>
      <c r="C53" s="27" t="str">
        <f>IFERROR(_xlfn.XLOOKUP(factura_tb22[[#This Row],[ID]],total_leyenda[ID],total_leyenda[DESCRIPCION]),"")</f>
        <v>VINIPEL STRESS 5X300</v>
      </c>
      <c r="D53" s="27"/>
      <c r="E53" s="27"/>
      <c r="F53" s="27"/>
      <c r="G53" s="27">
        <v>5</v>
      </c>
      <c r="H53" s="48">
        <f>IFERROR(_xlfn.XLOOKUP(factura_tb22[[#This Row],[ID]],total_leyenda[ID],total_leyenda[precio unitario]),"")</f>
        <v>676.68</v>
      </c>
      <c r="I53" s="30"/>
      <c r="J53" s="49">
        <f>IFERROR(ROUNDUP(factura_tb22[[#This Row],[CANTIDAD]]*factura_tb22[[#This Row],[VALOR UNITARIO]],2),"")</f>
        <v>3383.4</v>
      </c>
      <c r="K53" s="27"/>
    </row>
    <row r="54" spans="2:11" customFormat="1" ht="16.5" x14ac:dyDescent="0.3">
      <c r="B54" s="27" t="s">
        <v>210</v>
      </c>
      <c r="C54" s="27" t="str">
        <f>IFERROR(_xlfn.XLOOKUP(factura_tb22[[#This Row],[ID]],total_leyenda[ID],total_leyenda[DESCRIPCION]),"")</f>
        <v>BOLSA POLIPROPILENO TRANSP 8X15</v>
      </c>
      <c r="D54" s="27"/>
      <c r="E54" s="27"/>
      <c r="F54" s="27"/>
      <c r="G54" s="27">
        <v>20</v>
      </c>
      <c r="H54" s="48">
        <f>IFERROR(_xlfn.XLOOKUP(factura_tb22[[#This Row],[ID]],total_leyenda[ID],total_leyenda[precio unitario]),"")</f>
        <v>1003.57</v>
      </c>
      <c r="I54" s="30"/>
      <c r="J54" s="49">
        <f>IFERROR(ROUNDUP(factura_tb22[[#This Row],[CANTIDAD]]*factura_tb22[[#This Row],[VALOR UNITARIO]],2),"")</f>
        <v>20071.400000000001</v>
      </c>
      <c r="K54" s="27"/>
    </row>
    <row r="55" spans="2:11" customFormat="1" ht="16.5" x14ac:dyDescent="0.3">
      <c r="B55" s="27"/>
      <c r="C55" s="27" t="str">
        <f>IFERROR(_xlfn.XLOOKUP(factura_tb22[[#This Row],[ID]],total_leyenda[ID],total_leyenda[DESCRIPCION]),"")</f>
        <v/>
      </c>
      <c r="D55" s="27"/>
      <c r="E55" s="27"/>
      <c r="F55" s="27"/>
      <c r="G55" s="27"/>
      <c r="H55" s="48" t="str">
        <f>IFERROR(_xlfn.XLOOKUP(factura_tb22[[#This Row],[ID]],total_leyenda[ID],total_leyenda[precio unitario]),"")</f>
        <v/>
      </c>
      <c r="I55" s="30"/>
      <c r="J55" s="49" t="str">
        <f>IFERROR(ROUNDUP(factura_tb22[[#This Row],[CANTIDAD]]*factura_tb22[[#This Row],[VALOR UNITARIO]],2),"")</f>
        <v/>
      </c>
      <c r="K55" s="27"/>
    </row>
    <row r="56" spans="2:11" customFormat="1" ht="16.5" x14ac:dyDescent="0.3">
      <c r="B56" s="27"/>
      <c r="C56" s="27" t="str">
        <f>IFERROR(_xlfn.XLOOKUP(factura_tb22[[#This Row],[ID]],total_leyenda[ID],total_leyenda[DESCRIPCION]),"")</f>
        <v/>
      </c>
      <c r="D56" s="27"/>
      <c r="E56" s="27"/>
      <c r="F56" s="27"/>
      <c r="G56" s="27"/>
      <c r="H56" s="48" t="str">
        <f>IFERROR(_xlfn.XLOOKUP(factura_tb22[[#This Row],[ID]],total_leyenda[ID],total_leyenda[precio unitario]),"")</f>
        <v/>
      </c>
      <c r="I56" s="30"/>
      <c r="J56" s="49" t="str">
        <f>IFERROR(ROUNDUP(factura_tb22[[#This Row],[CANTIDAD]]*factura_tb22[[#This Row],[VALOR UNITARIO]],2),"")</f>
        <v/>
      </c>
      <c r="K56" s="27"/>
    </row>
    <row r="57" spans="2:11" customFormat="1" ht="16.5" x14ac:dyDescent="0.3">
      <c r="B57" s="27"/>
      <c r="C57" s="27" t="str">
        <f>IFERROR(_xlfn.XLOOKUP(factura_tb22[[#This Row],[ID]],total_leyenda[ID],total_leyenda[DESCRIPCION]),"")</f>
        <v/>
      </c>
      <c r="D57" s="27"/>
      <c r="E57" s="27"/>
      <c r="F57" s="27"/>
      <c r="G57" s="27"/>
      <c r="H57" s="48" t="str">
        <f>IFERROR(_xlfn.XLOOKUP(factura_tb22[[#This Row],[ID]],total_leyenda[ID],total_leyenda[precio unitario]),"")</f>
        <v/>
      </c>
      <c r="I57" s="30"/>
      <c r="J57" s="49" t="str">
        <f>IFERROR(ROUNDUP(factura_tb22[[#This Row],[CANTIDAD]]*factura_tb22[[#This Row],[VALOR UNITARIO]],2),"")</f>
        <v/>
      </c>
      <c r="K57" s="27"/>
    </row>
    <row r="58" spans="2:11" customFormat="1" ht="16.5" x14ac:dyDescent="0.3">
      <c r="B58" s="27"/>
      <c r="C58" s="27" t="str">
        <f>IFERROR(_xlfn.XLOOKUP(factura_tb22[[#This Row],[ID]],total_leyenda[ID],total_leyenda[DESCRIPCION]),"")</f>
        <v/>
      </c>
      <c r="D58" s="27"/>
      <c r="E58" s="27"/>
      <c r="F58" s="27"/>
      <c r="G58" s="27"/>
      <c r="H58" s="48" t="str">
        <f>IFERROR(_xlfn.XLOOKUP(factura_tb22[[#This Row],[ID]],total_leyenda[ID],total_leyenda[precio unitario]),"")</f>
        <v/>
      </c>
      <c r="I58" s="30"/>
      <c r="J58" s="49" t="str">
        <f>IFERROR(ROUNDUP(factura_tb22[[#This Row],[CANTIDAD]]*factura_tb22[[#This Row],[VALOR UNITARIO]],2),"")</f>
        <v/>
      </c>
      <c r="K58" s="27"/>
    </row>
    <row r="59" spans="2:11" customFormat="1" ht="16.5" x14ac:dyDescent="0.3">
      <c r="B59" s="27"/>
      <c r="C59" s="27" t="str">
        <f>IFERROR(_xlfn.XLOOKUP(factura_tb22[[#This Row],[ID]],total_leyenda[ID],total_leyenda[DESCRIPCION]),"")</f>
        <v/>
      </c>
      <c r="D59" s="27"/>
      <c r="E59" s="27"/>
      <c r="F59" s="27"/>
      <c r="G59" s="27"/>
      <c r="H59" s="48" t="str">
        <f>IFERROR(_xlfn.XLOOKUP(factura_tb22[[#This Row],[ID]],total_leyenda[ID],total_leyenda[precio unitario]),"")</f>
        <v/>
      </c>
      <c r="I59" s="30"/>
      <c r="J59" s="49" t="str">
        <f>IFERROR(ROUNDUP(factura_tb22[[#This Row],[CANTIDAD]]*factura_tb22[[#This Row],[VALOR UNITARIO]],2),"")</f>
        <v/>
      </c>
      <c r="K59" s="27"/>
    </row>
    <row r="60" spans="2:11" customFormat="1" ht="16.5" x14ac:dyDescent="0.3">
      <c r="B60" s="27"/>
      <c r="C60" s="27" t="str">
        <f>IFERROR(_xlfn.XLOOKUP(factura_tb22[[#This Row],[ID]],total_leyenda[ID],total_leyenda[DESCRIPCION]),"")</f>
        <v/>
      </c>
      <c r="D60" s="27"/>
      <c r="E60" s="27"/>
      <c r="F60" s="27"/>
      <c r="G60" s="27"/>
      <c r="H60" s="48" t="str">
        <f>IFERROR(_xlfn.XLOOKUP(factura_tb22[[#This Row],[ID]],total_leyenda[ID],total_leyenda[precio unitario]),"")</f>
        <v/>
      </c>
      <c r="I60" s="30"/>
      <c r="J60" s="49" t="str">
        <f>IFERROR(ROUNDUP(factura_tb22[[#This Row],[CANTIDAD]]*factura_tb22[[#This Row],[VALOR UNITARIO]],2),"")</f>
        <v/>
      </c>
      <c r="K60" s="27"/>
    </row>
    <row r="61" spans="2:11" customFormat="1" ht="16.5" x14ac:dyDescent="0.3">
      <c r="B61" s="27"/>
      <c r="C61" s="27" t="str">
        <f>IFERROR(_xlfn.XLOOKUP(factura_tb22[[#This Row],[ID]],total_leyenda[ID],total_leyenda[DESCRIPCION]),"")</f>
        <v/>
      </c>
      <c r="D61" s="27"/>
      <c r="E61" s="27"/>
      <c r="F61" s="27"/>
      <c r="G61" s="27"/>
      <c r="H61" s="48" t="str">
        <f>IFERROR(_xlfn.XLOOKUP(factura_tb22[[#This Row],[ID]],total_leyenda[ID],total_leyenda[precio unitario]),"")</f>
        <v/>
      </c>
      <c r="I61" s="30"/>
      <c r="J61" s="49" t="str">
        <f>IFERROR(ROUNDUP(factura_tb22[[#This Row],[CANTIDAD]]*factura_tb22[[#This Row],[VALOR UNITARIO]],2),"")</f>
        <v/>
      </c>
      <c r="K61" s="27"/>
    </row>
    <row r="62" spans="2:11" customFormat="1" ht="16.5" x14ac:dyDescent="0.3">
      <c r="B62" s="27"/>
      <c r="C62" s="27" t="str">
        <f>IFERROR(_xlfn.XLOOKUP(factura_tb22[[#This Row],[ID]],total_leyenda[ID],total_leyenda[DESCRIPCION]),"")</f>
        <v/>
      </c>
      <c r="D62" s="27"/>
      <c r="E62" s="27"/>
      <c r="F62" s="27"/>
      <c r="G62" s="27"/>
      <c r="H62" s="48" t="str">
        <f>IFERROR(_xlfn.XLOOKUP(factura_tb22[[#This Row],[ID]],total_leyenda[ID],total_leyenda[precio unitario]),"")</f>
        <v/>
      </c>
      <c r="I62" s="30"/>
      <c r="J62" s="49" t="str">
        <f>IFERROR(ROUNDUP(factura_tb22[[#This Row],[CANTIDAD]]*factura_tb22[[#This Row],[VALOR UNITARIO]],2),"")</f>
        <v/>
      </c>
      <c r="K62" s="27"/>
    </row>
    <row r="63" spans="2:11" customFormat="1" ht="16.5" x14ac:dyDescent="0.3">
      <c r="B63" s="27"/>
      <c r="C63" s="27" t="str">
        <f>IFERROR(_xlfn.XLOOKUP(factura_tb22[[#This Row],[ID]],total_leyenda[ID],total_leyenda[DESCRIPCION]),"")</f>
        <v/>
      </c>
      <c r="D63" s="27"/>
      <c r="E63" s="27"/>
      <c r="F63" s="27"/>
      <c r="G63" s="27"/>
      <c r="H63" s="48" t="str">
        <f>IFERROR(_xlfn.XLOOKUP(factura_tb22[[#This Row],[ID]],total_leyenda[ID],total_leyenda[precio unitario]),"")</f>
        <v/>
      </c>
      <c r="I63" s="30"/>
      <c r="J63" s="49" t="str">
        <f>IFERROR(ROUNDUP(factura_tb22[[#This Row],[CANTIDAD]]*factura_tb22[[#This Row],[VALOR UNITARIO]],2),"")</f>
        <v/>
      </c>
      <c r="K63" s="27"/>
    </row>
    <row r="64" spans="2:11" customFormat="1" ht="16.5" x14ac:dyDescent="0.3">
      <c r="B64" s="27"/>
      <c r="C64" s="27" t="str">
        <f>IFERROR(_xlfn.XLOOKUP(factura_tb22[[#This Row],[ID]],total_leyenda[ID],total_leyenda[DESCRIPCION]),"")</f>
        <v/>
      </c>
      <c r="D64" s="27"/>
      <c r="E64" s="27"/>
      <c r="F64" s="27"/>
      <c r="G64" s="27"/>
      <c r="H64" s="48" t="str">
        <f>IFERROR(_xlfn.XLOOKUP(factura_tb22[[#This Row],[ID]],total_leyenda[ID],total_leyenda[precio unitario]),"")</f>
        <v/>
      </c>
      <c r="I64" s="30"/>
      <c r="J64" s="49" t="str">
        <f>IFERROR(ROUNDUP(factura_tb22[[#This Row],[CANTIDAD]]*factura_tb22[[#This Row],[VALOR UNITARIO]],2),"")</f>
        <v/>
      </c>
      <c r="K64" s="27"/>
    </row>
    <row r="65" spans="2:11" customFormat="1" ht="16.5" x14ac:dyDescent="0.3">
      <c r="B65" s="27"/>
      <c r="C65" s="27" t="str">
        <f>IFERROR(_xlfn.XLOOKUP(factura_tb22[[#This Row],[ID]],total_leyenda[ID],total_leyenda[DESCRIPCION]),"")</f>
        <v/>
      </c>
      <c r="D65" s="27"/>
      <c r="E65" s="27"/>
      <c r="F65" s="27"/>
      <c r="G65" s="27"/>
      <c r="H65" s="48" t="str">
        <f>IFERROR(_xlfn.XLOOKUP(factura_tb22[[#This Row],[ID]],total_leyenda[ID],total_leyenda[precio unitario]),"")</f>
        <v/>
      </c>
      <c r="I65" s="30"/>
      <c r="J65" s="49" t="str">
        <f>IFERROR(ROUNDUP(factura_tb22[[#This Row],[CANTIDAD]]*factura_tb22[[#This Row],[VALOR UNITARIO]],2),"")</f>
        <v/>
      </c>
      <c r="K65" s="27"/>
    </row>
    <row r="66" spans="2:11" customFormat="1" ht="16.5" x14ac:dyDescent="0.3">
      <c r="B66" s="27"/>
      <c r="C66" s="27" t="str">
        <f>IFERROR(_xlfn.XLOOKUP(factura_tb22[[#This Row],[ID]],total_leyenda[ID],total_leyenda[DESCRIPCION]),"")</f>
        <v/>
      </c>
      <c r="D66" s="27"/>
      <c r="E66" s="27"/>
      <c r="F66" s="27"/>
      <c r="G66" s="27"/>
      <c r="H66" s="48" t="str">
        <f>IFERROR(_xlfn.XLOOKUP(factura_tb22[[#This Row],[ID]],total_leyenda[ID],total_leyenda[precio unitario]),"")</f>
        <v/>
      </c>
      <c r="I66" s="30"/>
      <c r="J66" s="49" t="str">
        <f>IFERROR(ROUNDUP(factura_tb22[[#This Row],[CANTIDAD]]*factura_tb22[[#This Row],[VALOR UNITARIO]],2),"")</f>
        <v/>
      </c>
      <c r="K66" s="27"/>
    </row>
    <row r="67" spans="2:11" customFormat="1" ht="16.5" x14ac:dyDescent="0.3">
      <c r="B67" s="27"/>
      <c r="C67" s="27" t="str">
        <f>IFERROR(_xlfn.XLOOKUP(factura_tb22[[#This Row],[ID]],total_leyenda[ID],total_leyenda[DESCRIPCION]),"")</f>
        <v/>
      </c>
      <c r="D67" s="27"/>
      <c r="E67" s="27"/>
      <c r="F67" s="27"/>
      <c r="G67" s="27"/>
      <c r="H67" s="48" t="str">
        <f>IFERROR(_xlfn.XLOOKUP(factura_tb22[[#This Row],[ID]],total_leyenda[ID],total_leyenda[precio unitario]),"")</f>
        <v/>
      </c>
      <c r="I67" s="30"/>
      <c r="J67" s="49" t="str">
        <f>IFERROR(ROUNDUP(factura_tb22[[#This Row],[CANTIDAD]]*factura_tb22[[#This Row],[VALOR UNITARIO]],2),"")</f>
        <v/>
      </c>
      <c r="K67" s="27"/>
    </row>
    <row r="68" spans="2:11" customFormat="1" ht="16.5" x14ac:dyDescent="0.3">
      <c r="B68" s="27"/>
      <c r="C68" s="27" t="str">
        <f>IFERROR(_xlfn.XLOOKUP(factura_tb22[[#This Row],[ID]],total_leyenda[ID],total_leyenda[DESCRIPCION]),"")</f>
        <v/>
      </c>
      <c r="D68" s="27"/>
      <c r="E68" s="27"/>
      <c r="F68" s="27"/>
      <c r="G68" s="27"/>
      <c r="H68" s="48" t="str">
        <f>IFERROR(_xlfn.XLOOKUP(factura_tb22[[#This Row],[ID]],total_leyenda[ID],total_leyenda[precio unitario]),"")</f>
        <v/>
      </c>
      <c r="I68" s="30"/>
      <c r="J68" s="49" t="str">
        <f>IFERROR(ROUNDUP(factura_tb22[[#This Row],[CANTIDAD]]*factura_tb22[[#This Row],[VALOR UNITARIO]],2),"")</f>
        <v/>
      </c>
      <c r="K68" s="27"/>
    </row>
    <row r="69" spans="2:11" customFormat="1" ht="16.5" x14ac:dyDescent="0.3">
      <c r="B69" s="27"/>
      <c r="C69" s="27" t="str">
        <f>IFERROR(_xlfn.XLOOKUP(factura_tb22[[#This Row],[ID]],total_leyenda[ID],total_leyenda[DESCRIPCION]),"")</f>
        <v/>
      </c>
      <c r="D69" s="27"/>
      <c r="E69" s="27"/>
      <c r="F69" s="27"/>
      <c r="G69" s="27"/>
      <c r="H69" s="48" t="str">
        <f>IFERROR(_xlfn.XLOOKUP(factura_tb22[[#This Row],[ID]],total_leyenda[ID],total_leyenda[precio unitario]),"")</f>
        <v/>
      </c>
      <c r="I69" s="30"/>
      <c r="J69" s="49" t="str">
        <f>IFERROR(ROUNDUP(factura_tb22[[#This Row],[CANTIDAD]]*factura_tb22[[#This Row],[VALOR UNITARIO]],2),"")</f>
        <v/>
      </c>
      <c r="K69" s="27"/>
    </row>
    <row r="70" spans="2:11" customFormat="1" ht="17.25" thickBot="1" x14ac:dyDescent="0.35">
      <c r="B70" s="27"/>
      <c r="C70" s="27"/>
      <c r="D70" s="27"/>
      <c r="E70" s="27"/>
      <c r="F70" s="27"/>
      <c r="G70" s="27"/>
      <c r="H70" s="27"/>
      <c r="I70" s="27"/>
      <c r="J70" s="27"/>
      <c r="K70" s="27"/>
    </row>
    <row r="71" spans="2:11" customFormat="1" ht="16.5" x14ac:dyDescent="0.3">
      <c r="B71" s="27"/>
      <c r="C71" s="27"/>
      <c r="D71" s="27"/>
      <c r="E71" s="27"/>
      <c r="F71" s="27"/>
      <c r="G71" s="27"/>
      <c r="H71" s="27"/>
      <c r="I71" s="30"/>
      <c r="J71" s="27"/>
      <c r="K71" s="27"/>
    </row>
    <row r="72" spans="2:11" customFormat="1" ht="16.5" x14ac:dyDescent="0.3">
      <c r="K72" s="27"/>
    </row>
    <row r="73" spans="2:11" customFormat="1" ht="16.5" x14ac:dyDescent="0.3">
      <c r="H73" s="79" t="s">
        <v>409</v>
      </c>
      <c r="I73" s="80"/>
      <c r="J73" s="92">
        <f>J77-J75</f>
        <v>37087.47</v>
      </c>
      <c r="K73" s="27"/>
    </row>
    <row r="74" spans="2:11" customFormat="1" ht="16.5" x14ac:dyDescent="0.3">
      <c r="H74" s="81"/>
      <c r="I74" s="82"/>
      <c r="J74" s="93"/>
      <c r="K74" s="27"/>
    </row>
    <row r="75" spans="2:11" customFormat="1" ht="16.5" x14ac:dyDescent="0.3">
      <c r="H75" s="79" t="s">
        <v>410</v>
      </c>
      <c r="I75" s="80"/>
      <c r="J75" s="92">
        <f>ROUND(J77*0.19,2)</f>
        <v>8699.5300000000007</v>
      </c>
      <c r="K75" s="27"/>
    </row>
    <row r="76" spans="2:11" customFormat="1" ht="16.5" x14ac:dyDescent="0.3">
      <c r="H76" s="81"/>
      <c r="I76" s="82"/>
      <c r="J76" s="93"/>
      <c r="K76" s="27"/>
    </row>
    <row r="77" spans="2:11" customFormat="1" ht="16.5" x14ac:dyDescent="0.3">
      <c r="H77" s="79" t="s">
        <v>411</v>
      </c>
      <c r="I77" s="80"/>
      <c r="J77" s="94">
        <f>ROUNDUP(SUM(factura_tb22[TOTAL]),0) + IF(VALUE(M77)&gt;50,100-M77,50-M77)</f>
        <v>45787</v>
      </c>
      <c r="K77" s="27"/>
    </row>
    <row r="78" spans="2:11" customFormat="1" ht="16.5" x14ac:dyDescent="0.3">
      <c r="H78" s="81"/>
      <c r="I78" s="82"/>
      <c r="J78" s="95"/>
      <c r="K78" s="27"/>
    </row>
    <row r="79" spans="2:11" customFormat="1" ht="16.5" x14ac:dyDescent="0.3">
      <c r="H79" s="44"/>
      <c r="I79" s="44"/>
      <c r="J79" s="45"/>
      <c r="K79" s="27"/>
    </row>
    <row r="80" spans="2:11" customFormat="1" ht="16.5" x14ac:dyDescent="0.3">
      <c r="H80" s="44"/>
      <c r="I80" s="44"/>
      <c r="J80" s="45"/>
      <c r="K80" s="27"/>
    </row>
    <row r="81" spans="2:11" customFormat="1" ht="16.5" x14ac:dyDescent="0.3">
      <c r="H81" s="44"/>
      <c r="I81" s="44"/>
      <c r="J81" s="45"/>
      <c r="K81" s="27"/>
    </row>
    <row r="82" spans="2:11" customFormat="1" ht="16.5" x14ac:dyDescent="0.3">
      <c r="H82" s="44"/>
      <c r="I82" s="44"/>
      <c r="J82" s="45"/>
      <c r="K82" s="27"/>
    </row>
    <row r="83" spans="2:11" customFormat="1" ht="16.5" x14ac:dyDescent="0.3">
      <c r="H83" s="44"/>
      <c r="I83" s="44"/>
      <c r="J83" s="45"/>
      <c r="K83" s="27"/>
    </row>
    <row r="84" spans="2:11" customFormat="1" ht="16.5" x14ac:dyDescent="0.3">
      <c r="H84" s="44"/>
      <c r="I84" s="44"/>
      <c r="J84" s="45"/>
      <c r="K84" s="27"/>
    </row>
    <row r="85" spans="2:11" customFormat="1" ht="16.5" x14ac:dyDescent="0.3">
      <c r="H85" s="44"/>
      <c r="I85" s="44"/>
      <c r="J85" s="45"/>
      <c r="K85" s="27"/>
    </row>
    <row r="86" spans="2:11" customFormat="1" ht="16.5" x14ac:dyDescent="0.3">
      <c r="K86" s="27"/>
    </row>
    <row r="87" spans="2:11" customFormat="1" ht="15.75" customHeight="1" x14ac:dyDescent="0.25">
      <c r="B87" s="91" t="s">
        <v>412</v>
      </c>
      <c r="C87" s="46" t="s">
        <v>413</v>
      </c>
      <c r="D87" s="46"/>
      <c r="E87" s="46"/>
      <c r="F87" s="46"/>
    </row>
    <row r="88" spans="2:11" customFormat="1" ht="15.75" x14ac:dyDescent="0.25">
      <c r="B88" s="91"/>
      <c r="C88" s="47" t="s">
        <v>415</v>
      </c>
      <c r="D88" s="118"/>
      <c r="E88" s="46"/>
      <c r="F88" s="46"/>
    </row>
    <row r="89" spans="2:11" customFormat="1" x14ac:dyDescent="0.25"/>
    <row r="90" spans="2:11" customFormat="1" x14ac:dyDescent="0.25"/>
    <row r="91" spans="2:11" customFormat="1" x14ac:dyDescent="0.25"/>
    <row r="92" spans="2:11" customFormat="1" x14ac:dyDescent="0.25"/>
    <row r="93" spans="2:11" customFormat="1" x14ac:dyDescent="0.25">
      <c r="B93" s="85" t="s">
        <v>414</v>
      </c>
      <c r="C93" s="86"/>
      <c r="D93" s="86"/>
      <c r="E93" s="86"/>
      <c r="F93" s="86"/>
      <c r="G93" s="86"/>
      <c r="H93" s="86"/>
      <c r="I93" s="86"/>
      <c r="J93" s="87"/>
    </row>
    <row r="94" spans="2:11" customFormat="1" x14ac:dyDescent="0.25">
      <c r="B94" s="88"/>
      <c r="C94" s="89"/>
      <c r="D94" s="89"/>
      <c r="E94" s="89"/>
      <c r="F94" s="89"/>
      <c r="G94" s="89"/>
      <c r="H94" s="89"/>
      <c r="I94" s="89"/>
      <c r="J94" s="90"/>
    </row>
    <row r="95" spans="2:11" customFormat="1" x14ac:dyDescent="0.25"/>
    <row r="96" spans="2:11" customFormat="1" x14ac:dyDescent="0.25"/>
    <row r="98" spans="2:4" customFormat="1" x14ac:dyDescent="0.25">
      <c r="B98" s="96"/>
      <c r="C98" s="96"/>
      <c r="D98" s="61"/>
    </row>
    <row r="99" spans="2:4" customFormat="1" x14ac:dyDescent="0.25"/>
    <row r="100" spans="2:4" customFormat="1" x14ac:dyDescent="0.25"/>
    <row r="101" spans="2:4" customFormat="1" ht="50.25" customHeight="1" x14ac:dyDescent="0.25"/>
    <row r="102" spans="2:4" customFormat="1" x14ac:dyDescent="0.25"/>
    <row r="103" spans="2:4" customFormat="1" x14ac:dyDescent="0.25"/>
    <row r="104" spans="2:4" customFormat="1" x14ac:dyDescent="0.25"/>
    <row r="105" spans="2:4" customFormat="1" x14ac:dyDescent="0.25"/>
    <row r="106" spans="2:4" customFormat="1" x14ac:dyDescent="0.25"/>
    <row r="107" spans="2:4" customFormat="1" x14ac:dyDescent="0.25"/>
    <row r="108" spans="2:4" customFormat="1" x14ac:dyDescent="0.25"/>
    <row r="109" spans="2:4" customFormat="1" x14ac:dyDescent="0.25"/>
    <row r="110" spans="2:4" customFormat="1" x14ac:dyDescent="0.25"/>
    <row r="111" spans="2:4" customFormat="1" x14ac:dyDescent="0.25"/>
    <row r="112" spans="2:4"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sheetData>
  <mergeCells count="45">
    <mergeCell ref="B3:G3"/>
    <mergeCell ref="B11:G11"/>
    <mergeCell ref="B12:G12"/>
    <mergeCell ref="B13:G13"/>
    <mergeCell ref="B9:G9"/>
    <mergeCell ref="B6:G8"/>
    <mergeCell ref="B4:G5"/>
    <mergeCell ref="B10:G10"/>
    <mergeCell ref="B14:G14"/>
    <mergeCell ref="C19:G19"/>
    <mergeCell ref="B15:G15"/>
    <mergeCell ref="H77:I78"/>
    <mergeCell ref="J77:J78"/>
    <mergeCell ref="B16:G16"/>
    <mergeCell ref="B17:G17"/>
    <mergeCell ref="H73:I74"/>
    <mergeCell ref="J73:J74"/>
    <mergeCell ref="H75:I76"/>
    <mergeCell ref="J75:J76"/>
    <mergeCell ref="B23:G23"/>
    <mergeCell ref="C26:G26"/>
    <mergeCell ref="C27:G27"/>
    <mergeCell ref="B44:G44"/>
    <mergeCell ref="B34:C34"/>
    <mergeCell ref="B35:C35"/>
    <mergeCell ref="B36:C36"/>
    <mergeCell ref="B37:C37"/>
    <mergeCell ref="B31:G32"/>
    <mergeCell ref="C20:G20"/>
    <mergeCell ref="C21:G21"/>
    <mergeCell ref="C22:G22"/>
    <mergeCell ref="C24:G24"/>
    <mergeCell ref="C25:G25"/>
    <mergeCell ref="B98:C98"/>
    <mergeCell ref="B38:C38"/>
    <mergeCell ref="E34:G34"/>
    <mergeCell ref="E35:G35"/>
    <mergeCell ref="E36:G36"/>
    <mergeCell ref="E37:G37"/>
    <mergeCell ref="E38:G38"/>
    <mergeCell ref="B41:G41"/>
    <mergeCell ref="B42:G43"/>
    <mergeCell ref="B46:G46"/>
    <mergeCell ref="B87:B88"/>
    <mergeCell ref="B93:J94"/>
  </mergeCells>
  <phoneticPr fontId="1" type="noConversion"/>
  <dataValidations count="1">
    <dataValidation type="list" allowBlank="1" showInputMessage="1" showErrorMessage="1" sqref="B51:B69 B71" xr:uid="{61EA7DDA-1E33-45C6-9FF5-0B82F1B2A0B4}">
      <formula1>id_product</formula1>
    </dataValidation>
  </dataValidations>
  <pageMargins left="0" right="0" top="0" bottom="0" header="0" footer="0"/>
  <pageSetup scale="50" fitToHeight="0"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90C84-6919-4F10-AF08-F3B9D153A410}">
  <sheetPr codeName="Sheet11">
    <pageSetUpPr fitToPage="1"/>
  </sheetPr>
  <dimension ref="B2:K110"/>
  <sheetViews>
    <sheetView showGridLines="0" topLeftCell="A25" zoomScaleNormal="100" workbookViewId="0">
      <selection activeCell="I45" sqref="I45"/>
    </sheetView>
  </sheetViews>
  <sheetFormatPr defaultRowHeight="15" x14ac:dyDescent="0.25"/>
  <cols>
    <col min="2" max="2" width="14.7109375" customWidth="1"/>
    <col min="3" max="3" width="8.28515625" customWidth="1"/>
    <col min="4" max="4" width="0.7109375" customWidth="1"/>
    <col min="5" max="5" width="8.5703125" customWidth="1"/>
    <col min="6" max="6" width="1" customWidth="1"/>
    <col min="7" max="7" width="12.7109375" customWidth="1"/>
    <col min="8" max="8" width="21.42578125" bestFit="1" customWidth="1"/>
    <col min="10" max="10" width="21.28515625" bestFit="1" customWidth="1"/>
  </cols>
  <sheetData>
    <row r="2" spans="2:7" ht="18" customHeight="1" x14ac:dyDescent="0.25"/>
    <row r="3" spans="2:7" ht="16.5" customHeight="1" x14ac:dyDescent="0.25">
      <c r="B3" s="96" t="s">
        <v>453</v>
      </c>
      <c r="C3" s="96"/>
      <c r="D3" s="96"/>
      <c r="E3" s="96"/>
      <c r="F3" s="96"/>
      <c r="G3" s="96"/>
    </row>
    <row r="4" spans="2:7" ht="15" customHeight="1" x14ac:dyDescent="0.25">
      <c r="B4" s="112" t="s">
        <v>398</v>
      </c>
      <c r="C4" s="112"/>
      <c r="D4" s="112"/>
      <c r="E4" s="112"/>
      <c r="F4" s="112"/>
      <c r="G4" s="112"/>
    </row>
    <row r="5" spans="2:7" ht="15" customHeight="1" x14ac:dyDescent="0.25">
      <c r="B5" s="112"/>
      <c r="C5" s="112"/>
      <c r="D5" s="112"/>
      <c r="E5" s="112"/>
      <c r="F5" s="112"/>
      <c r="G5" s="112"/>
    </row>
    <row r="6" spans="2:7" ht="15" customHeight="1" x14ac:dyDescent="0.25">
      <c r="B6" s="111" t="s">
        <v>399</v>
      </c>
      <c r="C6" s="111"/>
      <c r="D6" s="111"/>
      <c r="E6" s="111"/>
      <c r="F6" s="111"/>
      <c r="G6" s="111"/>
    </row>
    <row r="7" spans="2:7" ht="15" customHeight="1" x14ac:dyDescent="0.25">
      <c r="B7" s="111"/>
      <c r="C7" s="111"/>
      <c r="D7" s="111"/>
      <c r="E7" s="111"/>
      <c r="F7" s="111"/>
      <c r="G7" s="111"/>
    </row>
    <row r="8" spans="2:7" ht="15" customHeight="1" x14ac:dyDescent="0.25">
      <c r="B8" s="111"/>
      <c r="C8" s="111"/>
      <c r="D8" s="111"/>
      <c r="E8" s="111"/>
      <c r="F8" s="111"/>
      <c r="G8" s="111"/>
    </row>
    <row r="9" spans="2:7" x14ac:dyDescent="0.25">
      <c r="B9" s="96" t="s">
        <v>453</v>
      </c>
      <c r="C9" s="96"/>
      <c r="D9" s="96"/>
      <c r="E9" s="96"/>
      <c r="F9" s="96"/>
      <c r="G9" s="96"/>
    </row>
    <row r="10" spans="2:7" ht="15.75" x14ac:dyDescent="0.25">
      <c r="B10" s="113" t="s">
        <v>454</v>
      </c>
      <c r="C10" s="113"/>
      <c r="D10" s="113"/>
      <c r="E10" s="113"/>
      <c r="F10" s="113"/>
      <c r="G10" s="113"/>
    </row>
    <row r="11" spans="2:7" ht="15" customHeight="1" x14ac:dyDescent="0.25">
      <c r="B11" s="110" t="s">
        <v>402</v>
      </c>
      <c r="C11" s="110"/>
      <c r="D11" s="110"/>
      <c r="E11" s="110"/>
      <c r="F11" s="110"/>
      <c r="G11" s="110"/>
    </row>
    <row r="12" spans="2:7" ht="15" customHeight="1" x14ac:dyDescent="0.25">
      <c r="B12" s="110">
        <v>3184278532</v>
      </c>
      <c r="C12" s="110"/>
      <c r="D12" s="110"/>
      <c r="E12" s="110"/>
      <c r="F12" s="110"/>
      <c r="G12" s="110"/>
    </row>
    <row r="13" spans="2:7" ht="15.75" x14ac:dyDescent="0.25">
      <c r="B13" s="110" t="s">
        <v>404</v>
      </c>
      <c r="C13" s="110"/>
      <c r="D13" s="110"/>
      <c r="E13" s="110"/>
      <c r="F13" s="110"/>
      <c r="G13" s="110"/>
    </row>
    <row r="14" spans="2:7" x14ac:dyDescent="0.25">
      <c r="B14" s="96" t="s">
        <v>453</v>
      </c>
      <c r="C14" s="96"/>
      <c r="D14" s="96"/>
      <c r="E14" s="96"/>
      <c r="F14" s="96"/>
      <c r="G14" s="96"/>
    </row>
    <row r="15" spans="2:7" ht="18.75" x14ac:dyDescent="0.3">
      <c r="B15" s="109" t="s">
        <v>554</v>
      </c>
      <c r="C15" s="109"/>
      <c r="D15" s="109"/>
      <c r="E15" s="109"/>
      <c r="F15" s="109"/>
      <c r="G15" s="109"/>
    </row>
    <row r="16" spans="2:7" ht="18.75" x14ac:dyDescent="0.25">
      <c r="B16" s="107"/>
      <c r="C16" s="107"/>
      <c r="D16" s="107"/>
      <c r="E16" s="107"/>
      <c r="F16" s="107"/>
      <c r="G16" s="107"/>
    </row>
    <row r="17" spans="2:10" ht="18.75" x14ac:dyDescent="0.3">
      <c r="B17" s="109" t="str">
        <f ca="1">_xlfn.CONCAT("N. Factura: ",FACTURA!G6)</f>
        <v>N. Factura: 14</v>
      </c>
      <c r="C17" s="109"/>
      <c r="D17" s="109"/>
      <c r="E17" s="109"/>
      <c r="F17" s="109"/>
      <c r="G17" s="109"/>
    </row>
    <row r="18" spans="2:10" x14ac:dyDescent="0.25">
      <c r="B18" s="67"/>
      <c r="C18" s="67"/>
      <c r="D18" s="67"/>
      <c r="E18" s="67"/>
      <c r="F18" s="67"/>
      <c r="G18" s="67"/>
    </row>
    <row r="19" spans="2:10" ht="15.75" x14ac:dyDescent="0.25">
      <c r="B19" s="69" t="s">
        <v>460</v>
      </c>
      <c r="C19" s="104">
        <f ca="1">TODAY()</f>
        <v>45417</v>
      </c>
      <c r="D19" s="104"/>
      <c r="E19" s="104"/>
      <c r="F19" s="104"/>
      <c r="G19" s="104"/>
    </row>
    <row r="20" spans="2:10" ht="15.75" x14ac:dyDescent="0.25">
      <c r="B20" s="69" t="s">
        <v>461</v>
      </c>
      <c r="C20" s="104">
        <f ca="1">TODAY()</f>
        <v>45417</v>
      </c>
      <c r="D20" s="104"/>
      <c r="E20" s="104"/>
      <c r="F20" s="104"/>
      <c r="G20" s="104"/>
    </row>
    <row r="21" spans="2:10" ht="15.75" x14ac:dyDescent="0.25">
      <c r="B21" s="69" t="s">
        <v>462</v>
      </c>
      <c r="C21" s="105">
        <f ca="1">NOW()</f>
        <v>45417.81004236111</v>
      </c>
      <c r="D21" s="105"/>
      <c r="E21" s="105"/>
      <c r="F21" s="105"/>
      <c r="G21" s="105"/>
    </row>
    <row r="22" spans="2:10" ht="15.75" x14ac:dyDescent="0.25">
      <c r="B22" s="69" t="s">
        <v>463</v>
      </c>
      <c r="C22" s="106" t="s">
        <v>446</v>
      </c>
      <c r="D22" s="106"/>
      <c r="E22" s="106"/>
      <c r="F22" s="106"/>
      <c r="G22" s="106"/>
      <c r="H22" s="31"/>
      <c r="J22" s="37"/>
    </row>
    <row r="23" spans="2:10" x14ac:dyDescent="0.25">
      <c r="B23" s="101" t="s">
        <v>455</v>
      </c>
      <c r="C23" s="101"/>
      <c r="D23" s="101"/>
      <c r="E23" s="101"/>
      <c r="F23" s="101"/>
      <c r="G23" s="101"/>
      <c r="H23" s="31"/>
      <c r="I23" s="35"/>
      <c r="J23" s="37"/>
    </row>
    <row r="24" spans="2:10" ht="15.75" x14ac:dyDescent="0.25">
      <c r="B24" s="69" t="s">
        <v>456</v>
      </c>
      <c r="C24" s="106" t="s">
        <v>396</v>
      </c>
      <c r="D24" s="106"/>
      <c r="E24" s="106"/>
      <c r="F24" s="106"/>
      <c r="G24" s="106"/>
      <c r="H24" s="31"/>
      <c r="I24" s="35"/>
      <c r="J24" s="37"/>
    </row>
    <row r="25" spans="2:10" ht="15.75" x14ac:dyDescent="0.25">
      <c r="B25" s="69" t="s">
        <v>457</v>
      </c>
      <c r="C25" s="106">
        <v>1234788444</v>
      </c>
      <c r="D25" s="106"/>
      <c r="E25" s="106"/>
      <c r="F25" s="106"/>
      <c r="G25" s="106"/>
      <c r="H25" s="31"/>
      <c r="I25" s="35"/>
      <c r="J25" s="37"/>
    </row>
    <row r="26" spans="2:10" ht="15.75" x14ac:dyDescent="0.25">
      <c r="B26" s="69" t="s">
        <v>458</v>
      </c>
      <c r="C26" s="106" t="s">
        <v>408</v>
      </c>
      <c r="D26" s="106"/>
      <c r="E26" s="106"/>
      <c r="F26" s="106"/>
      <c r="G26" s="106"/>
      <c r="H26" s="31"/>
      <c r="I26" s="35"/>
      <c r="J26" s="37"/>
    </row>
    <row r="27" spans="2:10" ht="15.75" x14ac:dyDescent="0.25">
      <c r="B27" s="69" t="s">
        <v>459</v>
      </c>
      <c r="C27" s="106">
        <v>3138562603</v>
      </c>
      <c r="D27" s="106"/>
      <c r="E27" s="106"/>
      <c r="F27" s="106"/>
      <c r="G27" s="106"/>
    </row>
    <row r="28" spans="2:10" x14ac:dyDescent="0.25">
      <c r="B28" s="31"/>
      <c r="G28" s="37"/>
    </row>
    <row r="29" spans="2:10" ht="15.75" thickBot="1" x14ac:dyDescent="0.3">
      <c r="B29" s="77" t="s">
        <v>464</v>
      </c>
      <c r="C29" s="77"/>
      <c r="D29" s="77"/>
      <c r="E29" s="70" t="s">
        <v>447</v>
      </c>
      <c r="F29" s="63"/>
      <c r="G29" s="70" t="s">
        <v>448</v>
      </c>
    </row>
    <row r="30" spans="2:10" x14ac:dyDescent="0.25">
      <c r="B30" s="71"/>
      <c r="C30" s="71"/>
      <c r="D30" s="71"/>
      <c r="E30" s="71"/>
      <c r="F30" s="72"/>
      <c r="G30" s="71"/>
    </row>
    <row r="31" spans="2:10" ht="50.1" customHeight="1" x14ac:dyDescent="0.25">
      <c r="B31" s="108" t="str">
        <f>_xlfn.CONCAT("[",G60,"]","   ",B60," ",C60)</f>
        <v>[60]   01001 PALILLO BAMBOO 25 CM GRUESO</v>
      </c>
      <c r="C31" s="108"/>
      <c r="D31" s="76"/>
      <c r="E31" s="73">
        <f>H60</f>
        <v>325.97000000000003</v>
      </c>
      <c r="F31" s="73"/>
      <c r="G31" s="74">
        <f>J60</f>
        <v>19558.2</v>
      </c>
    </row>
    <row r="32" spans="2:10" ht="15.75" x14ac:dyDescent="0.25">
      <c r="B32" s="76"/>
      <c r="C32" s="76"/>
      <c r="D32" s="76"/>
      <c r="E32" s="73"/>
      <c r="F32" s="73"/>
      <c r="G32" s="74"/>
    </row>
    <row r="33" spans="2:7" ht="50.1" customHeight="1" x14ac:dyDescent="0.25">
      <c r="B33" s="108" t="str">
        <f>_xlfn.CONCAT("[",G61,"]","   ",B61," ",C61)</f>
        <v>[5]   00803 PAPEL ALUMINIO 40 METROS</v>
      </c>
      <c r="C33" s="108"/>
      <c r="D33" s="76"/>
      <c r="E33" s="73">
        <f>H61</f>
        <v>544.63</v>
      </c>
      <c r="F33" s="73"/>
      <c r="G33" s="74">
        <f>J61</f>
        <v>2723.15</v>
      </c>
    </row>
    <row r="34" spans="2:7" ht="15.75" x14ac:dyDescent="0.25">
      <c r="B34" s="76"/>
      <c r="C34" s="76"/>
      <c r="D34" s="76"/>
      <c r="E34" s="73"/>
      <c r="F34" s="73"/>
      <c r="G34" s="74"/>
    </row>
    <row r="35" spans="2:7" ht="50.1" customHeight="1" x14ac:dyDescent="0.25">
      <c r="B35" s="108" t="str">
        <f>_xlfn.CONCAT("[",G62,"]","   ",B62," ",C62)</f>
        <v>[5]   01301 VINIPEL STRESS 5X300</v>
      </c>
      <c r="C35" s="108"/>
      <c r="D35" s="76"/>
      <c r="E35" s="73">
        <f>H62</f>
        <v>676.68</v>
      </c>
      <c r="F35" s="73"/>
      <c r="G35" s="74">
        <f>J62</f>
        <v>3383.4</v>
      </c>
    </row>
    <row r="36" spans="2:7" ht="15.75" x14ac:dyDescent="0.25">
      <c r="B36" s="76"/>
      <c r="C36" s="76"/>
      <c r="D36" s="76"/>
      <c r="E36" s="73"/>
      <c r="F36" s="73"/>
      <c r="G36" s="74"/>
    </row>
    <row r="37" spans="2:7" ht="50.1" customHeight="1" x14ac:dyDescent="0.25">
      <c r="B37" s="108" t="str">
        <f>_xlfn.CONCAT("[",G63,"]","   ",B63," ",C63)</f>
        <v>[20]   01509 BOLSA POLIPROPILENO TRANSP 8X15</v>
      </c>
      <c r="C37" s="108"/>
      <c r="D37" s="76"/>
      <c r="E37" s="73">
        <f t="shared" ref="E37" si="0">H63</f>
        <v>1003.57</v>
      </c>
      <c r="F37" s="73"/>
      <c r="G37" s="74">
        <f t="shared" ref="G37" si="1">J63</f>
        <v>20071.400000000001</v>
      </c>
    </row>
    <row r="38" spans="2:7" x14ac:dyDescent="0.25">
      <c r="B38" s="31"/>
      <c r="G38" s="37"/>
    </row>
    <row r="39" spans="2:7" ht="20.25" customHeight="1" x14ac:dyDescent="0.25">
      <c r="B39" s="107" t="str">
        <f>_xlfn.CONCAT("SON ", "CUARENTA Y CINCO MIL OCHO CIENTOS", " PESOS" )</f>
        <v>SON CUARENTA Y CINCO MIL OCHO CIENTOS PESOS</v>
      </c>
      <c r="C39" s="107"/>
      <c r="D39" s="107"/>
      <c r="E39" s="107"/>
      <c r="F39" s="107"/>
      <c r="G39" s="107"/>
    </row>
    <row r="40" spans="2:7" ht="17.25" customHeight="1" x14ac:dyDescent="0.25">
      <c r="B40" s="107"/>
      <c r="C40" s="107"/>
      <c r="D40" s="107"/>
      <c r="E40" s="107"/>
      <c r="F40" s="107"/>
      <c r="G40" s="107"/>
    </row>
    <row r="41" spans="2:7" ht="17.25" customHeight="1" x14ac:dyDescent="0.25">
      <c r="B41" s="107"/>
      <c r="C41" s="107"/>
      <c r="D41" s="107"/>
      <c r="E41" s="107"/>
      <c r="F41" s="107"/>
      <c r="G41" s="107"/>
    </row>
    <row r="42" spans="2:7" x14ac:dyDescent="0.25">
      <c r="B42" s="31"/>
      <c r="G42" s="37"/>
    </row>
    <row r="43" spans="2:7" ht="18.75" x14ac:dyDescent="0.3">
      <c r="B43" s="97" t="str">
        <f>H82</f>
        <v>SUBTOTAL:</v>
      </c>
      <c r="C43" s="97"/>
      <c r="D43" s="75"/>
      <c r="E43" s="98">
        <f>J82</f>
        <v>37087.47</v>
      </c>
      <c r="F43" s="98"/>
      <c r="G43" s="98"/>
    </row>
    <row r="44" spans="2:7" ht="18.75" x14ac:dyDescent="0.3">
      <c r="B44" s="97" t="s">
        <v>451</v>
      </c>
      <c r="C44" s="97"/>
      <c r="D44" s="75"/>
      <c r="E44" s="99"/>
      <c r="F44" s="99"/>
      <c r="G44" s="99"/>
    </row>
    <row r="45" spans="2:7" ht="18.75" x14ac:dyDescent="0.3">
      <c r="B45" s="97" t="str">
        <f>H84</f>
        <v>IVA 19%:</v>
      </c>
      <c r="C45" s="97"/>
      <c r="D45" s="75"/>
      <c r="E45" s="98">
        <f>J84</f>
        <v>8699.5300000000007</v>
      </c>
      <c r="F45" s="98"/>
      <c r="G45" s="98"/>
    </row>
    <row r="46" spans="2:7" ht="18.75" x14ac:dyDescent="0.3">
      <c r="B46" s="97" t="s">
        <v>450</v>
      </c>
      <c r="C46" s="97"/>
      <c r="D46" s="75"/>
      <c r="E46" s="99"/>
      <c r="F46" s="99"/>
      <c r="G46" s="99"/>
    </row>
    <row r="47" spans="2:7" ht="18.75" x14ac:dyDescent="0.3">
      <c r="B47" s="97" t="str">
        <f>H86</f>
        <v>TOTAL:</v>
      </c>
      <c r="C47" s="97"/>
      <c r="D47" s="75"/>
      <c r="E47" s="100">
        <f>J86</f>
        <v>45787</v>
      </c>
      <c r="F47" s="100"/>
      <c r="G47" s="100"/>
    </row>
    <row r="48" spans="2:7" x14ac:dyDescent="0.25">
      <c r="B48" s="31"/>
      <c r="C48" s="68"/>
      <c r="D48" s="68"/>
      <c r="E48" s="68"/>
      <c r="F48" s="68"/>
      <c r="G48" s="66"/>
    </row>
    <row r="49" spans="2:11" x14ac:dyDescent="0.25">
      <c r="B49" s="31"/>
      <c r="G49" s="37"/>
    </row>
    <row r="50" spans="2:11" x14ac:dyDescent="0.25">
      <c r="B50" s="101" t="s">
        <v>455</v>
      </c>
      <c r="C50" s="102"/>
      <c r="D50" s="102"/>
      <c r="E50" s="102"/>
      <c r="F50" s="102"/>
      <c r="G50" s="102"/>
    </row>
    <row r="51" spans="2:11" x14ac:dyDescent="0.25">
      <c r="B51" s="103" t="s">
        <v>452</v>
      </c>
      <c r="C51" s="103"/>
      <c r="D51" s="103"/>
      <c r="E51" s="103"/>
      <c r="F51" s="103"/>
      <c r="G51" s="103"/>
    </row>
    <row r="52" spans="2:11" x14ac:dyDescent="0.25">
      <c r="B52" s="103"/>
      <c r="C52" s="103"/>
      <c r="D52" s="103"/>
      <c r="E52" s="103"/>
      <c r="F52" s="103"/>
      <c r="G52" s="103"/>
    </row>
    <row r="53" spans="2:11" x14ac:dyDescent="0.25">
      <c r="B53" s="101" t="s">
        <v>455</v>
      </c>
      <c r="C53" s="102"/>
      <c r="D53" s="102"/>
      <c r="E53" s="102"/>
      <c r="F53" s="102"/>
      <c r="G53" s="102"/>
    </row>
    <row r="54" spans="2:11" x14ac:dyDescent="0.25">
      <c r="B54" s="64"/>
      <c r="C54" s="65"/>
      <c r="D54" s="65"/>
      <c r="E54" s="65"/>
      <c r="F54" s="65"/>
      <c r="G54" s="65"/>
    </row>
    <row r="55" spans="2:11" x14ac:dyDescent="0.25">
      <c r="B55" s="96" t="s">
        <v>453</v>
      </c>
      <c r="C55" s="96"/>
      <c r="D55" s="96"/>
      <c r="E55" s="96"/>
      <c r="F55" s="96"/>
      <c r="G55" s="96"/>
    </row>
    <row r="56" spans="2:11" x14ac:dyDescent="0.25">
      <c r="B56" s="62"/>
      <c r="C56" s="61"/>
      <c r="D56" s="61"/>
      <c r="E56" s="61"/>
      <c r="F56" s="61"/>
      <c r="G56" s="61"/>
    </row>
    <row r="57" spans="2:11" x14ac:dyDescent="0.25">
      <c r="B57" s="62"/>
      <c r="C57" s="61"/>
      <c r="D57" s="61"/>
      <c r="E57" s="61"/>
      <c r="F57" s="61"/>
      <c r="G57" s="61"/>
    </row>
    <row r="59" spans="2:11" ht="16.5" x14ac:dyDescent="0.3">
      <c r="B59" s="27" t="s">
        <v>0</v>
      </c>
      <c r="C59" s="27" t="s">
        <v>1</v>
      </c>
      <c r="D59" s="27" t="s">
        <v>556</v>
      </c>
      <c r="E59" s="27" t="s">
        <v>449</v>
      </c>
      <c r="F59" s="27" t="s">
        <v>555</v>
      </c>
      <c r="G59" s="27" t="s">
        <v>379</v>
      </c>
      <c r="H59" s="27" t="s">
        <v>397</v>
      </c>
      <c r="I59" s="27" t="s">
        <v>3</v>
      </c>
      <c r="J59" s="27" t="s">
        <v>214</v>
      </c>
      <c r="K59" s="27"/>
    </row>
    <row r="60" spans="2:11" ht="16.5" x14ac:dyDescent="0.3">
      <c r="B60" s="27" t="s">
        <v>134</v>
      </c>
      <c r="C60" s="50" t="str">
        <f>IFERROR(_xlfn.XLOOKUP(factura_tb2220[[#This Row],[ID]],total_leyenda[ID],total_leyenda[DESCRIPCION]),"")</f>
        <v>PALILLO BAMBOO 25 CM GRUESO</v>
      </c>
      <c r="D60" s="50"/>
      <c r="E60" s="50"/>
      <c r="F60" s="50"/>
      <c r="G60" s="50">
        <v>60</v>
      </c>
      <c r="H60" s="51">
        <f>IFERROR(_xlfn.XLOOKUP(factura_tb2220[[#This Row],[ID]],total_leyenda[ID],total_leyenda[precio unitario]),"")</f>
        <v>325.97000000000003</v>
      </c>
      <c r="I60" s="52"/>
      <c r="J60" s="53">
        <f>IFERROR(ROUNDUP(factura_tb2220[[#This Row],[CANTIDAD]]*factura_tb2220[[#This Row],[VALOR UNITARIO]],2),"")</f>
        <v>19558.2</v>
      </c>
      <c r="K60" s="27"/>
    </row>
    <row r="61" spans="2:11" ht="16.5" x14ac:dyDescent="0.3">
      <c r="B61" s="27" t="s">
        <v>120</v>
      </c>
      <c r="C61" s="27" t="str">
        <f>IFERROR(_xlfn.XLOOKUP(factura_tb2220[[#This Row],[ID]],total_leyenda[ID],total_leyenda[DESCRIPCION]),"")</f>
        <v>PAPEL ALUMINIO 40 METROS</v>
      </c>
      <c r="D61" s="27"/>
      <c r="E61" s="27"/>
      <c r="F61" s="27"/>
      <c r="G61" s="27">
        <v>5</v>
      </c>
      <c r="H61" s="48">
        <f>IFERROR(_xlfn.XLOOKUP(factura_tb2220[[#This Row],[ID]],total_leyenda[ID],total_leyenda[precio unitario]),"")</f>
        <v>544.63</v>
      </c>
      <c r="I61" s="30"/>
      <c r="J61" s="49">
        <f>IFERROR(ROUNDUP(factura_tb2220[[#This Row],[CANTIDAD]]*factura_tb2220[[#This Row],[VALOR UNITARIO]],2),"")</f>
        <v>2723.15</v>
      </c>
      <c r="K61" s="27"/>
    </row>
    <row r="62" spans="2:11" ht="16.5" x14ac:dyDescent="0.3">
      <c r="B62" s="27" t="s">
        <v>164</v>
      </c>
      <c r="C62" s="27" t="str">
        <f>IFERROR(_xlfn.XLOOKUP(factura_tb2220[[#This Row],[ID]],total_leyenda[ID],total_leyenda[DESCRIPCION]),"")</f>
        <v>VINIPEL STRESS 5X300</v>
      </c>
      <c r="D62" s="27"/>
      <c r="E62" s="27"/>
      <c r="F62" s="27"/>
      <c r="G62" s="27">
        <v>5</v>
      </c>
      <c r="H62" s="48">
        <f>IFERROR(_xlfn.XLOOKUP(factura_tb2220[[#This Row],[ID]],total_leyenda[ID],total_leyenda[precio unitario]),"")</f>
        <v>676.68</v>
      </c>
      <c r="I62" s="30"/>
      <c r="J62" s="49">
        <f>IFERROR(ROUNDUP(factura_tb2220[[#This Row],[CANTIDAD]]*factura_tb2220[[#This Row],[VALOR UNITARIO]],2),"")</f>
        <v>3383.4</v>
      </c>
      <c r="K62" s="27"/>
    </row>
    <row r="63" spans="2:11" ht="16.5" x14ac:dyDescent="0.3">
      <c r="B63" s="27" t="s">
        <v>210</v>
      </c>
      <c r="C63" s="27" t="str">
        <f>IFERROR(_xlfn.XLOOKUP(factura_tb2220[[#This Row],[ID]],total_leyenda[ID],total_leyenda[DESCRIPCION]),"")</f>
        <v>BOLSA POLIPROPILENO TRANSP 8X15</v>
      </c>
      <c r="D63" s="27"/>
      <c r="E63" s="27"/>
      <c r="F63" s="27"/>
      <c r="G63" s="27">
        <v>20</v>
      </c>
      <c r="H63" s="48">
        <f>IFERROR(_xlfn.XLOOKUP(factura_tb2220[[#This Row],[ID]],total_leyenda[ID],total_leyenda[precio unitario]),"")</f>
        <v>1003.57</v>
      </c>
      <c r="I63" s="30"/>
      <c r="J63" s="49">
        <f>IFERROR(ROUNDUP(factura_tb2220[[#This Row],[CANTIDAD]]*factura_tb2220[[#This Row],[VALOR UNITARIO]],2),"")</f>
        <v>20071.400000000001</v>
      </c>
      <c r="K63" s="27"/>
    </row>
    <row r="64" spans="2:11" ht="16.5" x14ac:dyDescent="0.3">
      <c r="B64" s="27"/>
      <c r="C64" s="27" t="str">
        <f>IFERROR(_xlfn.XLOOKUP(factura_tb2220[[#This Row],[ID]],total_leyenda[ID],total_leyenda[DESCRIPCION]),"")</f>
        <v/>
      </c>
      <c r="D64" s="27"/>
      <c r="E64" s="27"/>
      <c r="F64" s="27"/>
      <c r="G64" s="27"/>
      <c r="H64" s="48" t="str">
        <f>IFERROR(_xlfn.XLOOKUP(factura_tb2220[[#This Row],[ID]],total_leyenda[ID],total_leyenda[precio unitario]),"")</f>
        <v/>
      </c>
      <c r="I64" s="30"/>
      <c r="J64" s="49" t="str">
        <f>IFERROR(ROUNDUP(factura_tb2220[[#This Row],[CANTIDAD]]*factura_tb2220[[#This Row],[VALOR UNITARIO]],2),"")</f>
        <v/>
      </c>
      <c r="K64" s="27"/>
    </row>
    <row r="65" spans="2:11" ht="16.5" x14ac:dyDescent="0.3">
      <c r="B65" s="27"/>
      <c r="C65" s="27" t="str">
        <f>IFERROR(_xlfn.XLOOKUP(factura_tb2220[[#This Row],[ID]],total_leyenda[ID],total_leyenda[DESCRIPCION]),"")</f>
        <v/>
      </c>
      <c r="D65" s="27"/>
      <c r="E65" s="27"/>
      <c r="F65" s="27"/>
      <c r="G65" s="27"/>
      <c r="H65" s="48" t="str">
        <f>IFERROR(_xlfn.XLOOKUP(factura_tb2220[[#This Row],[ID]],total_leyenda[ID],total_leyenda[precio unitario]),"")</f>
        <v/>
      </c>
      <c r="I65" s="30"/>
      <c r="J65" s="49" t="str">
        <f>IFERROR(ROUNDUP(factura_tb2220[[#This Row],[CANTIDAD]]*factura_tb2220[[#This Row],[VALOR UNITARIO]],2),"")</f>
        <v/>
      </c>
      <c r="K65" s="27"/>
    </row>
    <row r="66" spans="2:11" ht="16.5" x14ac:dyDescent="0.3">
      <c r="B66" s="27"/>
      <c r="C66" s="27" t="str">
        <f>IFERROR(_xlfn.XLOOKUP(factura_tb2220[[#This Row],[ID]],total_leyenda[ID],total_leyenda[DESCRIPCION]),"")</f>
        <v/>
      </c>
      <c r="D66" s="27"/>
      <c r="E66" s="27"/>
      <c r="F66" s="27"/>
      <c r="G66" s="27"/>
      <c r="H66" s="48" t="str">
        <f>IFERROR(_xlfn.XLOOKUP(factura_tb2220[[#This Row],[ID]],total_leyenda[ID],total_leyenda[precio unitario]),"")</f>
        <v/>
      </c>
      <c r="I66" s="30"/>
      <c r="J66" s="49" t="str">
        <f>IFERROR(ROUNDUP(factura_tb2220[[#This Row],[CANTIDAD]]*factura_tb2220[[#This Row],[VALOR UNITARIO]],2),"")</f>
        <v/>
      </c>
      <c r="K66" s="27"/>
    </row>
    <row r="67" spans="2:11" ht="16.5" x14ac:dyDescent="0.3">
      <c r="B67" s="27"/>
      <c r="C67" s="27" t="str">
        <f>IFERROR(_xlfn.XLOOKUP(factura_tb2220[[#This Row],[ID]],total_leyenda[ID],total_leyenda[DESCRIPCION]),"")</f>
        <v/>
      </c>
      <c r="D67" s="27"/>
      <c r="E67" s="27"/>
      <c r="F67" s="27"/>
      <c r="G67" s="27"/>
      <c r="H67" s="48" t="str">
        <f>IFERROR(_xlfn.XLOOKUP(factura_tb2220[[#This Row],[ID]],total_leyenda[ID],total_leyenda[precio unitario]),"")</f>
        <v/>
      </c>
      <c r="I67" s="30"/>
      <c r="J67" s="49" t="str">
        <f>IFERROR(ROUNDUP(factura_tb2220[[#This Row],[CANTIDAD]]*factura_tb2220[[#This Row],[VALOR UNITARIO]],2),"")</f>
        <v/>
      </c>
      <c r="K67" s="27"/>
    </row>
    <row r="68" spans="2:11" ht="16.5" x14ac:dyDescent="0.3">
      <c r="B68" s="27"/>
      <c r="C68" s="27" t="str">
        <f>IFERROR(_xlfn.XLOOKUP(factura_tb2220[[#This Row],[ID]],total_leyenda[ID],total_leyenda[DESCRIPCION]),"")</f>
        <v/>
      </c>
      <c r="D68" s="27"/>
      <c r="E68" s="27"/>
      <c r="F68" s="27"/>
      <c r="G68" s="27"/>
      <c r="H68" s="48" t="str">
        <f>IFERROR(_xlfn.XLOOKUP(factura_tb2220[[#This Row],[ID]],total_leyenda[ID],total_leyenda[precio unitario]),"")</f>
        <v/>
      </c>
      <c r="I68" s="30"/>
      <c r="J68" s="49" t="str">
        <f>IFERROR(ROUNDUP(factura_tb2220[[#This Row],[CANTIDAD]]*factura_tb2220[[#This Row],[VALOR UNITARIO]],2),"")</f>
        <v/>
      </c>
      <c r="K68" s="27"/>
    </row>
    <row r="69" spans="2:11" ht="16.5" x14ac:dyDescent="0.3">
      <c r="B69" s="27"/>
      <c r="C69" s="27" t="str">
        <f>IFERROR(_xlfn.XLOOKUP(factura_tb2220[[#This Row],[ID]],total_leyenda[ID],total_leyenda[DESCRIPCION]),"")</f>
        <v/>
      </c>
      <c r="D69" s="27"/>
      <c r="E69" s="27"/>
      <c r="F69" s="27"/>
      <c r="G69" s="27"/>
      <c r="H69" s="48" t="str">
        <f>IFERROR(_xlfn.XLOOKUP(factura_tb2220[[#This Row],[ID]],total_leyenda[ID],total_leyenda[precio unitario]),"")</f>
        <v/>
      </c>
      <c r="I69" s="30"/>
      <c r="J69" s="49" t="str">
        <f>IFERROR(ROUNDUP(factura_tb2220[[#This Row],[CANTIDAD]]*factura_tb2220[[#This Row],[VALOR UNITARIO]],2),"")</f>
        <v/>
      </c>
      <c r="K69" s="27"/>
    </row>
    <row r="70" spans="2:11" ht="16.5" x14ac:dyDescent="0.3">
      <c r="B70" s="27"/>
      <c r="C70" s="27" t="str">
        <f>IFERROR(_xlfn.XLOOKUP(factura_tb2220[[#This Row],[ID]],total_leyenda[ID],total_leyenda[DESCRIPCION]),"")</f>
        <v/>
      </c>
      <c r="D70" s="27"/>
      <c r="E70" s="27"/>
      <c r="F70" s="27"/>
      <c r="G70" s="27"/>
      <c r="H70" s="48" t="str">
        <f>IFERROR(_xlfn.XLOOKUP(factura_tb2220[[#This Row],[ID]],total_leyenda[ID],total_leyenda[precio unitario]),"")</f>
        <v/>
      </c>
      <c r="I70" s="30"/>
      <c r="J70" s="49" t="str">
        <f>IFERROR(ROUNDUP(factura_tb2220[[#This Row],[CANTIDAD]]*factura_tb2220[[#This Row],[VALOR UNITARIO]],2),"")</f>
        <v/>
      </c>
      <c r="K70" s="27"/>
    </row>
    <row r="71" spans="2:11" ht="16.5" x14ac:dyDescent="0.3">
      <c r="B71" s="27"/>
      <c r="C71" s="27" t="str">
        <f>IFERROR(_xlfn.XLOOKUP(factura_tb2220[[#This Row],[ID]],total_leyenda[ID],total_leyenda[DESCRIPCION]),"")</f>
        <v/>
      </c>
      <c r="D71" s="27"/>
      <c r="E71" s="27"/>
      <c r="F71" s="27"/>
      <c r="G71" s="27"/>
      <c r="H71" s="48" t="str">
        <f>IFERROR(_xlfn.XLOOKUP(factura_tb2220[[#This Row],[ID]],total_leyenda[ID],total_leyenda[precio unitario]),"")</f>
        <v/>
      </c>
      <c r="I71" s="30"/>
      <c r="J71" s="49" t="str">
        <f>IFERROR(ROUNDUP(factura_tb2220[[#This Row],[CANTIDAD]]*factura_tb2220[[#This Row],[VALOR UNITARIO]],2),"")</f>
        <v/>
      </c>
      <c r="K71" s="27"/>
    </row>
    <row r="72" spans="2:11" ht="16.5" x14ac:dyDescent="0.3">
      <c r="B72" s="27"/>
      <c r="C72" s="27" t="str">
        <f>IFERROR(_xlfn.XLOOKUP(factura_tb2220[[#This Row],[ID]],total_leyenda[ID],total_leyenda[DESCRIPCION]),"")</f>
        <v/>
      </c>
      <c r="D72" s="27"/>
      <c r="E72" s="27"/>
      <c r="F72" s="27"/>
      <c r="G72" s="27"/>
      <c r="H72" s="48" t="str">
        <f>IFERROR(_xlfn.XLOOKUP(factura_tb2220[[#This Row],[ID]],total_leyenda[ID],total_leyenda[precio unitario]),"")</f>
        <v/>
      </c>
      <c r="I72" s="30"/>
      <c r="J72" s="49" t="str">
        <f>IFERROR(ROUNDUP(factura_tb2220[[#This Row],[CANTIDAD]]*factura_tb2220[[#This Row],[VALOR UNITARIO]],2),"")</f>
        <v/>
      </c>
      <c r="K72" s="27"/>
    </row>
    <row r="73" spans="2:11" ht="16.5" x14ac:dyDescent="0.3">
      <c r="B73" s="27"/>
      <c r="C73" s="27" t="str">
        <f>IFERROR(_xlfn.XLOOKUP(factura_tb2220[[#This Row],[ID]],total_leyenda[ID],total_leyenda[DESCRIPCION]),"")</f>
        <v/>
      </c>
      <c r="D73" s="27"/>
      <c r="E73" s="27"/>
      <c r="F73" s="27"/>
      <c r="G73" s="27"/>
      <c r="H73" s="48" t="str">
        <f>IFERROR(_xlfn.XLOOKUP(factura_tb2220[[#This Row],[ID]],total_leyenda[ID],total_leyenda[precio unitario]),"")</f>
        <v/>
      </c>
      <c r="I73" s="30"/>
      <c r="J73" s="49" t="str">
        <f>IFERROR(ROUNDUP(factura_tb2220[[#This Row],[CANTIDAD]]*factura_tb2220[[#This Row],[VALOR UNITARIO]],2),"")</f>
        <v/>
      </c>
      <c r="K73" s="27"/>
    </row>
    <row r="74" spans="2:11" ht="16.5" x14ac:dyDescent="0.3">
      <c r="B74" s="27"/>
      <c r="C74" s="27" t="str">
        <f>IFERROR(_xlfn.XLOOKUP(factura_tb2220[[#This Row],[ID]],total_leyenda[ID],total_leyenda[DESCRIPCION]),"")</f>
        <v/>
      </c>
      <c r="D74" s="27"/>
      <c r="E74" s="27"/>
      <c r="F74" s="27"/>
      <c r="G74" s="27"/>
      <c r="H74" s="48" t="str">
        <f>IFERROR(_xlfn.XLOOKUP(factura_tb2220[[#This Row],[ID]],total_leyenda[ID],total_leyenda[precio unitario]),"")</f>
        <v/>
      </c>
      <c r="I74" s="30"/>
      <c r="J74" s="49" t="str">
        <f>IFERROR(ROUNDUP(factura_tb2220[[#This Row],[CANTIDAD]]*factura_tb2220[[#This Row],[VALOR UNITARIO]],2),"")</f>
        <v/>
      </c>
      <c r="K74" s="27"/>
    </row>
    <row r="75" spans="2:11" ht="16.5" x14ac:dyDescent="0.3">
      <c r="B75" s="27"/>
      <c r="C75" s="27" t="str">
        <f>IFERROR(_xlfn.XLOOKUP(factura_tb2220[[#This Row],[ID]],total_leyenda[ID],total_leyenda[DESCRIPCION]),"")</f>
        <v/>
      </c>
      <c r="D75" s="27"/>
      <c r="E75" s="27"/>
      <c r="F75" s="27"/>
      <c r="G75" s="27"/>
      <c r="H75" s="48" t="str">
        <f>IFERROR(_xlfn.XLOOKUP(factura_tb2220[[#This Row],[ID]],total_leyenda[ID],total_leyenda[precio unitario]),"")</f>
        <v/>
      </c>
      <c r="I75" s="30"/>
      <c r="J75" s="49" t="str">
        <f>IFERROR(ROUNDUP(factura_tb2220[[#This Row],[CANTIDAD]]*factura_tb2220[[#This Row],[VALOR UNITARIO]],2),"")</f>
        <v/>
      </c>
      <c r="K75" s="27"/>
    </row>
    <row r="76" spans="2:11" ht="16.5" x14ac:dyDescent="0.3">
      <c r="B76" s="27"/>
      <c r="C76" s="27" t="str">
        <f>IFERROR(_xlfn.XLOOKUP(factura_tb2220[[#This Row],[ID]],total_leyenda[ID],total_leyenda[DESCRIPCION]),"")</f>
        <v/>
      </c>
      <c r="D76" s="27"/>
      <c r="E76" s="27"/>
      <c r="F76" s="27"/>
      <c r="G76" s="27"/>
      <c r="H76" s="48" t="str">
        <f>IFERROR(_xlfn.XLOOKUP(factura_tb2220[[#This Row],[ID]],total_leyenda[ID],total_leyenda[precio unitario]),"")</f>
        <v/>
      </c>
      <c r="I76" s="30"/>
      <c r="J76" s="49" t="str">
        <f>IFERROR(ROUNDUP(factura_tb2220[[#This Row],[CANTIDAD]]*factura_tb2220[[#This Row],[VALOR UNITARIO]],2),"")</f>
        <v/>
      </c>
      <c r="K76" s="27"/>
    </row>
    <row r="77" spans="2:11" ht="16.5" x14ac:dyDescent="0.3">
      <c r="B77" s="27"/>
      <c r="C77" s="27" t="str">
        <f>IFERROR(_xlfn.XLOOKUP(factura_tb2220[[#This Row],[ID]],total_leyenda[ID],total_leyenda[DESCRIPCION]),"")</f>
        <v/>
      </c>
      <c r="D77" s="27"/>
      <c r="E77" s="27"/>
      <c r="F77" s="27"/>
      <c r="G77" s="27"/>
      <c r="H77" s="48" t="str">
        <f>IFERROR(_xlfn.XLOOKUP(factura_tb2220[[#This Row],[ID]],total_leyenda[ID],total_leyenda[precio unitario]),"")</f>
        <v/>
      </c>
      <c r="I77" s="30"/>
      <c r="J77" s="49" t="str">
        <f>IFERROR(ROUNDUP(factura_tb2220[[#This Row],[CANTIDAD]]*factura_tb2220[[#This Row],[VALOR UNITARIO]],2),"")</f>
        <v/>
      </c>
      <c r="K77" s="27"/>
    </row>
    <row r="78" spans="2:11" ht="16.5" x14ac:dyDescent="0.3">
      <c r="B78" s="27"/>
      <c r="C78" s="27" t="str">
        <f>IFERROR(_xlfn.XLOOKUP(factura_tb2220[[#This Row],[ID]],total_leyenda[ID],total_leyenda[DESCRIPCION]),"")</f>
        <v/>
      </c>
      <c r="D78" s="27"/>
      <c r="E78" s="27"/>
      <c r="F78" s="27"/>
      <c r="G78" s="27"/>
      <c r="H78" s="48" t="str">
        <f>IFERROR(_xlfn.XLOOKUP(factura_tb2220[[#This Row],[ID]],total_leyenda[ID],total_leyenda[precio unitario]),"")</f>
        <v/>
      </c>
      <c r="I78" s="30"/>
      <c r="J78" s="49" t="str">
        <f>IFERROR(ROUNDUP(factura_tb2220[[#This Row],[CANTIDAD]]*factura_tb2220[[#This Row],[VALOR UNITARIO]],2),"")</f>
        <v/>
      </c>
      <c r="K78" s="27"/>
    </row>
    <row r="79" spans="2:11" ht="16.5" x14ac:dyDescent="0.3">
      <c r="B79" s="27"/>
      <c r="C79" s="27"/>
      <c r="D79" s="27"/>
      <c r="E79" s="27"/>
      <c r="F79" s="27"/>
      <c r="G79" s="27"/>
      <c r="H79" s="27"/>
      <c r="I79" s="27"/>
      <c r="J79" s="27"/>
      <c r="K79" s="27"/>
    </row>
    <row r="80" spans="2:11" ht="16.5" x14ac:dyDescent="0.3">
      <c r="B80" s="27"/>
      <c r="C80" s="27"/>
      <c r="D80" s="27"/>
      <c r="E80" s="27"/>
      <c r="F80" s="27"/>
      <c r="G80" s="27"/>
      <c r="H80" s="27"/>
      <c r="I80" s="30"/>
      <c r="J80" s="27"/>
      <c r="K80" s="27"/>
    </row>
    <row r="81" spans="2:11" ht="16.5" x14ac:dyDescent="0.3">
      <c r="K81" s="27"/>
    </row>
    <row r="82" spans="2:11" ht="16.5" x14ac:dyDescent="0.3">
      <c r="H82" s="79" t="s">
        <v>409</v>
      </c>
      <c r="I82" s="80"/>
      <c r="J82" s="92">
        <f>J86-J84</f>
        <v>37087.47</v>
      </c>
      <c r="K82" s="27"/>
    </row>
    <row r="83" spans="2:11" ht="16.5" x14ac:dyDescent="0.3">
      <c r="H83" s="81"/>
      <c r="I83" s="82"/>
      <c r="J83" s="93"/>
      <c r="K83" s="27"/>
    </row>
    <row r="84" spans="2:11" ht="16.5" x14ac:dyDescent="0.3">
      <c r="H84" s="79" t="s">
        <v>410</v>
      </c>
      <c r="I84" s="80"/>
      <c r="J84" s="92">
        <f>ROUND(J86*0.19,2)</f>
        <v>8699.5300000000007</v>
      </c>
      <c r="K84" s="27"/>
    </row>
    <row r="85" spans="2:11" ht="16.5" x14ac:dyDescent="0.3">
      <c r="H85" s="81"/>
      <c r="I85" s="82"/>
      <c r="J85" s="93"/>
      <c r="K85" s="27"/>
    </row>
    <row r="86" spans="2:11" ht="16.5" x14ac:dyDescent="0.3">
      <c r="H86" s="79" t="s">
        <v>411</v>
      </c>
      <c r="I86" s="80"/>
      <c r="J86" s="94">
        <f>ROUNDUP(SUM(factura_tb2220[TOTAL]),0) + IF(VALUE(M86)&gt;50,100-M86,50-M86)</f>
        <v>45787</v>
      </c>
      <c r="K86" s="27"/>
    </row>
    <row r="87" spans="2:11" ht="16.5" x14ac:dyDescent="0.3">
      <c r="H87" s="81"/>
      <c r="I87" s="82"/>
      <c r="J87" s="95"/>
      <c r="K87" s="27"/>
    </row>
    <row r="88" spans="2:11" ht="16.5" x14ac:dyDescent="0.3">
      <c r="H88" s="44"/>
      <c r="I88" s="44"/>
      <c r="J88" s="45"/>
      <c r="K88" s="27"/>
    </row>
    <row r="89" spans="2:11" ht="16.5" x14ac:dyDescent="0.3">
      <c r="H89" s="44"/>
      <c r="I89" s="44"/>
      <c r="J89" s="45"/>
      <c r="K89" s="27"/>
    </row>
    <row r="90" spans="2:11" ht="16.5" x14ac:dyDescent="0.3">
      <c r="H90" s="44"/>
      <c r="I90" s="44"/>
      <c r="J90" s="45"/>
      <c r="K90" s="27"/>
    </row>
    <row r="91" spans="2:11" ht="16.5" x14ac:dyDescent="0.3">
      <c r="H91" s="44"/>
      <c r="I91" s="44"/>
      <c r="J91" s="45"/>
      <c r="K91" s="27"/>
    </row>
    <row r="92" spans="2:11" ht="16.5" x14ac:dyDescent="0.3">
      <c r="H92" s="44"/>
      <c r="I92" s="44"/>
      <c r="J92" s="45"/>
      <c r="K92" s="27"/>
    </row>
    <row r="93" spans="2:11" ht="16.5" x14ac:dyDescent="0.3">
      <c r="H93" s="44"/>
      <c r="I93" s="44"/>
      <c r="J93" s="45"/>
      <c r="K93" s="27"/>
    </row>
    <row r="94" spans="2:11" ht="16.5" x14ac:dyDescent="0.3">
      <c r="H94" s="44"/>
      <c r="I94" s="44"/>
      <c r="J94" s="45"/>
      <c r="K94" s="27"/>
    </row>
    <row r="95" spans="2:11" ht="16.5" x14ac:dyDescent="0.3">
      <c r="K95" s="27"/>
    </row>
    <row r="96" spans="2:11" ht="15.75" customHeight="1" x14ac:dyDescent="0.25">
      <c r="B96" s="91" t="s">
        <v>412</v>
      </c>
      <c r="C96" s="46" t="s">
        <v>413</v>
      </c>
      <c r="D96" s="46"/>
      <c r="E96" s="46"/>
      <c r="F96" s="46"/>
    </row>
    <row r="97" spans="2:10" ht="15.75" x14ac:dyDescent="0.25">
      <c r="B97" s="91"/>
      <c r="C97" s="47" t="s">
        <v>415</v>
      </c>
      <c r="D97" s="118"/>
      <c r="E97" s="46"/>
      <c r="F97" s="46"/>
    </row>
    <row r="102" spans="2:10" x14ac:dyDescent="0.25">
      <c r="B102" s="85" t="s">
        <v>414</v>
      </c>
      <c r="C102" s="86"/>
      <c r="D102" s="86"/>
      <c r="E102" s="86"/>
      <c r="F102" s="86"/>
      <c r="G102" s="86"/>
      <c r="H102" s="86"/>
      <c r="I102" s="86"/>
      <c r="J102" s="87"/>
    </row>
    <row r="103" spans="2:10" x14ac:dyDescent="0.25">
      <c r="B103" s="88"/>
      <c r="C103" s="89"/>
      <c r="D103" s="89"/>
      <c r="E103" s="89"/>
      <c r="F103" s="89"/>
      <c r="G103" s="89"/>
      <c r="H103" s="89"/>
      <c r="I103" s="89"/>
      <c r="J103" s="90"/>
    </row>
    <row r="107" spans="2:10" x14ac:dyDescent="0.25">
      <c r="B107" s="96"/>
      <c r="C107" s="96"/>
      <c r="D107" s="61"/>
    </row>
    <row r="110" spans="2:10" ht="50.25" customHeight="1" x14ac:dyDescent="0.25"/>
  </sheetData>
  <mergeCells count="49">
    <mergeCell ref="B107:C107"/>
    <mergeCell ref="H84:I85"/>
    <mergeCell ref="J84:J85"/>
    <mergeCell ref="H86:I87"/>
    <mergeCell ref="J86:J87"/>
    <mergeCell ref="B96:B97"/>
    <mergeCell ref="B102:J103"/>
    <mergeCell ref="B50:G50"/>
    <mergeCell ref="B51:G52"/>
    <mergeCell ref="B53:G53"/>
    <mergeCell ref="B55:G55"/>
    <mergeCell ref="H82:I83"/>
    <mergeCell ref="J82:J83"/>
    <mergeCell ref="B45:C45"/>
    <mergeCell ref="E45:G45"/>
    <mergeCell ref="B46:C46"/>
    <mergeCell ref="E46:G46"/>
    <mergeCell ref="B47:C47"/>
    <mergeCell ref="E47:G47"/>
    <mergeCell ref="B37:C37"/>
    <mergeCell ref="B39:G41"/>
    <mergeCell ref="B43:C43"/>
    <mergeCell ref="E43:G43"/>
    <mergeCell ref="B44:C44"/>
    <mergeCell ref="E44:G44"/>
    <mergeCell ref="C25:G25"/>
    <mergeCell ref="C26:G26"/>
    <mergeCell ref="C27:G27"/>
    <mergeCell ref="B31:C31"/>
    <mergeCell ref="B33:C33"/>
    <mergeCell ref="B35:C35"/>
    <mergeCell ref="C19:G19"/>
    <mergeCell ref="C20:G20"/>
    <mergeCell ref="C21:G21"/>
    <mergeCell ref="C22:G22"/>
    <mergeCell ref="B23:G23"/>
    <mergeCell ref="C24:G24"/>
    <mergeCell ref="B12:G12"/>
    <mergeCell ref="B13:G13"/>
    <mergeCell ref="B14:G14"/>
    <mergeCell ref="B15:G15"/>
    <mergeCell ref="B16:G16"/>
    <mergeCell ref="B17:G17"/>
    <mergeCell ref="B3:G3"/>
    <mergeCell ref="B4:G5"/>
    <mergeCell ref="B6:G8"/>
    <mergeCell ref="B9:G9"/>
    <mergeCell ref="B10:G10"/>
    <mergeCell ref="B11:G11"/>
  </mergeCells>
  <dataValidations count="1">
    <dataValidation type="list" allowBlank="1" showInputMessage="1" showErrorMessage="1" sqref="B60:B78 B80" xr:uid="{B6B9EBF3-260F-486B-83A8-3FB423B4D397}">
      <formula1>id_product</formula1>
    </dataValidation>
  </dataValidations>
  <pageMargins left="0" right="0" top="0" bottom="0" header="0" footer="0"/>
  <pageSetup fitToHeight="0"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zoomScale="115" zoomScaleNormal="115" workbookViewId="0">
      <selection activeCell="K19" sqref="K1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114" customFormat="1" x14ac:dyDescent="0.25">
      <c r="A1" s="114" t="s">
        <v>374</v>
      </c>
    </row>
    <row r="2" spans="1:14" s="114" customFormat="1" x14ac:dyDescent="0.25"/>
    <row r="3" spans="1:14" s="114" customFormat="1" x14ac:dyDescent="0.25"/>
    <row r="4" spans="1:14" s="23" customFormat="1" ht="9.9499999999999993" customHeight="1" x14ac:dyDescent="0.25"/>
    <row r="5" spans="1:14" s="23" customFormat="1" ht="28.5" x14ac:dyDescent="0.25">
      <c r="D5" s="115" t="s">
        <v>376</v>
      </c>
      <c r="E5" s="115"/>
      <c r="F5" s="115"/>
      <c r="J5" s="115" t="s">
        <v>377</v>
      </c>
      <c r="K5" s="115"/>
      <c r="L5" s="115"/>
      <c r="M5" s="115"/>
      <c r="N5" s="115"/>
    </row>
    <row r="6" spans="1:14" ht="9.9499999999999993" customHeight="1" x14ac:dyDescent="0.25"/>
    <row r="7" spans="1:14" ht="16.5" x14ac:dyDescent="0.3">
      <c r="D7" s="59" t="s">
        <v>332</v>
      </c>
      <c r="E7" s="59" t="s">
        <v>334</v>
      </c>
      <c r="F7" s="60" t="s">
        <v>375</v>
      </c>
      <c r="J7" s="16" t="s">
        <v>329</v>
      </c>
      <c r="K7" s="16" t="s">
        <v>330</v>
      </c>
      <c r="L7" s="16" t="s">
        <v>373</v>
      </c>
      <c r="M7" s="16" t="s">
        <v>334</v>
      </c>
      <c r="N7" t="s">
        <v>370</v>
      </c>
    </row>
    <row r="8" spans="1:14" ht="16.5" x14ac:dyDescent="0.3">
      <c r="D8" s="60" t="s">
        <v>9</v>
      </c>
      <c r="E8" s="60" t="s">
        <v>363</v>
      </c>
      <c r="F8" s="60">
        <v>21</v>
      </c>
      <c r="J8" s="4">
        <v>45218</v>
      </c>
      <c r="K8" s="25">
        <v>0.33333333333333331</v>
      </c>
      <c r="L8" t="s">
        <v>372</v>
      </c>
      <c r="M8" t="s">
        <v>357</v>
      </c>
      <c r="N8">
        <v>17</v>
      </c>
    </row>
    <row r="9" spans="1:14" ht="16.5" x14ac:dyDescent="0.3">
      <c r="D9" s="60" t="s">
        <v>11</v>
      </c>
      <c r="E9" s="60" t="s">
        <v>360</v>
      </c>
      <c r="F9" s="60">
        <v>55</v>
      </c>
      <c r="J9" s="4">
        <v>45329</v>
      </c>
      <c r="K9" s="25">
        <v>0.50319444444444439</v>
      </c>
      <c r="L9" t="s">
        <v>372</v>
      </c>
      <c r="M9" t="s">
        <v>357</v>
      </c>
      <c r="N9">
        <v>-2</v>
      </c>
    </row>
    <row r="10" spans="1:14" ht="16.5" x14ac:dyDescent="0.3">
      <c r="D10" s="60" t="s">
        <v>11</v>
      </c>
      <c r="E10" s="60" t="s">
        <v>363</v>
      </c>
      <c r="F10" s="60">
        <v>-20</v>
      </c>
      <c r="J10" s="4">
        <v>45329</v>
      </c>
      <c r="K10" s="25">
        <v>0.50603009259259257</v>
      </c>
      <c r="L10" t="s">
        <v>372</v>
      </c>
      <c r="M10" t="s">
        <v>357</v>
      </c>
      <c r="N10">
        <v>-60</v>
      </c>
    </row>
    <row r="11" spans="1:14" ht="16.5" x14ac:dyDescent="0.3">
      <c r="D11" s="60" t="s">
        <v>13</v>
      </c>
      <c r="E11" s="60" t="s">
        <v>352</v>
      </c>
      <c r="F11" s="60">
        <v>51</v>
      </c>
      <c r="J11" t="s">
        <v>369</v>
      </c>
      <c r="N11">
        <v>-45</v>
      </c>
    </row>
    <row r="12" spans="1:14" ht="16.5" x14ac:dyDescent="0.3">
      <c r="D12" s="60" t="s">
        <v>15</v>
      </c>
      <c r="E12" s="60" t="s">
        <v>346</v>
      </c>
      <c r="F12" s="60">
        <v>0</v>
      </c>
    </row>
    <row r="13" spans="1:14" ht="16.5" x14ac:dyDescent="0.3">
      <c r="D13" s="60" t="s">
        <v>16</v>
      </c>
      <c r="E13" s="60" t="s">
        <v>349</v>
      </c>
      <c r="F13" s="60">
        <v>32</v>
      </c>
    </row>
    <row r="14" spans="1:14" ht="16.5" x14ac:dyDescent="0.3">
      <c r="D14" s="60" t="s">
        <v>17</v>
      </c>
      <c r="E14" s="60" t="s">
        <v>366</v>
      </c>
      <c r="F14" s="60">
        <v>10</v>
      </c>
    </row>
    <row r="15" spans="1:14" ht="16.5" x14ac:dyDescent="0.3">
      <c r="D15" s="60" t="s">
        <v>18</v>
      </c>
      <c r="E15" s="60" t="s">
        <v>357</v>
      </c>
      <c r="F15" s="60">
        <v>-45</v>
      </c>
    </row>
    <row r="16" spans="1:14" ht="16.5" x14ac:dyDescent="0.3">
      <c r="D16" s="60" t="s">
        <v>19</v>
      </c>
      <c r="E16" s="60" t="s">
        <v>355</v>
      </c>
      <c r="F16" s="60">
        <v>21</v>
      </c>
    </row>
    <row r="17" spans="2:6" ht="16.5" x14ac:dyDescent="0.3">
      <c r="D17" s="60" t="s">
        <v>27</v>
      </c>
      <c r="E17" s="60" t="s">
        <v>365</v>
      </c>
      <c r="F17" s="60">
        <v>9</v>
      </c>
    </row>
    <row r="18" spans="2:6" ht="16.5" x14ac:dyDescent="0.3">
      <c r="D18" s="60" t="s">
        <v>29</v>
      </c>
      <c r="E18" s="60" t="s">
        <v>362</v>
      </c>
      <c r="F18" s="60">
        <v>0</v>
      </c>
    </row>
    <row r="19" spans="2:6" ht="16.5" x14ac:dyDescent="0.3">
      <c r="D19" s="60" t="s">
        <v>30</v>
      </c>
      <c r="E19" s="60" t="s">
        <v>354</v>
      </c>
      <c r="F19" s="60">
        <v>35</v>
      </c>
    </row>
    <row r="20" spans="2:6" ht="16.5" x14ac:dyDescent="0.3">
      <c r="D20" s="60" t="s">
        <v>31</v>
      </c>
      <c r="E20" s="60" t="s">
        <v>348</v>
      </c>
      <c r="F20" s="60">
        <v>4</v>
      </c>
    </row>
    <row r="21" spans="2:6" ht="16.5" x14ac:dyDescent="0.3">
      <c r="D21" s="60" t="s">
        <v>32</v>
      </c>
      <c r="E21" s="60" t="s">
        <v>351</v>
      </c>
      <c r="F21" s="60">
        <v>21</v>
      </c>
    </row>
    <row r="22" spans="2:6" ht="16.5" x14ac:dyDescent="0.3">
      <c r="D22" s="60" t="s">
        <v>33</v>
      </c>
      <c r="E22" s="60" t="s">
        <v>368</v>
      </c>
      <c r="F22" s="60">
        <v>14</v>
      </c>
    </row>
    <row r="23" spans="2:6" ht="16.5" x14ac:dyDescent="0.3">
      <c r="B23" t="s">
        <v>230</v>
      </c>
      <c r="D23" s="60" t="s">
        <v>34</v>
      </c>
      <c r="E23" s="60" t="s">
        <v>359</v>
      </c>
      <c r="F23" s="60">
        <v>12</v>
      </c>
    </row>
    <row r="24" spans="2:6" ht="16.5" x14ac:dyDescent="0.3">
      <c r="D24" s="60" t="s">
        <v>35</v>
      </c>
      <c r="E24" s="60" t="s">
        <v>356</v>
      </c>
      <c r="F24" s="60">
        <v>0</v>
      </c>
    </row>
    <row r="25" spans="2:6" ht="16.5" x14ac:dyDescent="0.3">
      <c r="D25" s="60" t="s">
        <v>44</v>
      </c>
      <c r="E25" s="60" t="s">
        <v>364</v>
      </c>
      <c r="F25" s="60">
        <v>15</v>
      </c>
    </row>
    <row r="26" spans="2:6" ht="16.5" x14ac:dyDescent="0.3">
      <c r="D26" s="60" t="s">
        <v>45</v>
      </c>
      <c r="E26" s="60" t="s">
        <v>361</v>
      </c>
      <c r="F26" s="60">
        <v>8</v>
      </c>
    </row>
    <row r="27" spans="2:6" ht="16.5" x14ac:dyDescent="0.3">
      <c r="D27" s="60" t="s">
        <v>46</v>
      </c>
      <c r="E27" s="60" t="s">
        <v>353</v>
      </c>
      <c r="F27" s="60">
        <v>46</v>
      </c>
    </row>
    <row r="28" spans="2:6" ht="16.5" x14ac:dyDescent="0.3">
      <c r="D28" s="60" t="s">
        <v>47</v>
      </c>
      <c r="E28" s="60" t="s">
        <v>347</v>
      </c>
      <c r="F28" s="60">
        <v>15</v>
      </c>
    </row>
    <row r="29" spans="2:6" ht="16.5" x14ac:dyDescent="0.3">
      <c r="D29" s="60" t="s">
        <v>48</v>
      </c>
      <c r="E29" s="60" t="s">
        <v>350</v>
      </c>
      <c r="F29" s="60">
        <v>14</v>
      </c>
    </row>
    <row r="30" spans="2:6" ht="16.5" x14ac:dyDescent="0.3">
      <c r="D30" s="60" t="s">
        <v>49</v>
      </c>
      <c r="E30" s="60" t="s">
        <v>367</v>
      </c>
      <c r="F30" s="60">
        <v>15</v>
      </c>
    </row>
    <row r="31" spans="2:6" ht="16.5" x14ac:dyDescent="0.3">
      <c r="D31" s="60" t="s">
        <v>50</v>
      </c>
      <c r="E31" s="60" t="s">
        <v>358</v>
      </c>
      <c r="F31" s="60">
        <v>13</v>
      </c>
    </row>
    <row r="32" spans="2:6" ht="16.5" x14ac:dyDescent="0.3">
      <c r="D32" s="60" t="s">
        <v>61</v>
      </c>
      <c r="E32" s="60" t="s">
        <v>341</v>
      </c>
      <c r="F32" s="60">
        <v>126</v>
      </c>
    </row>
    <row r="33" spans="4:6" ht="16.5" x14ac:dyDescent="0.3">
      <c r="D33" s="60" t="s">
        <v>62</v>
      </c>
      <c r="E33" s="60" t="s">
        <v>340</v>
      </c>
      <c r="F33" s="60">
        <v>26</v>
      </c>
    </row>
    <row r="34" spans="4:6" ht="16.5" x14ac:dyDescent="0.3">
      <c r="D34" s="60" t="s">
        <v>63</v>
      </c>
      <c r="E34" s="60" t="s">
        <v>339</v>
      </c>
      <c r="F34" s="60">
        <v>32</v>
      </c>
    </row>
    <row r="35" spans="4:6" ht="16.5" x14ac:dyDescent="0.3">
      <c r="D35" s="60" t="s">
        <v>64</v>
      </c>
      <c r="E35" s="60" t="s">
        <v>336</v>
      </c>
      <c r="F35" s="60">
        <v>30</v>
      </c>
    </row>
    <row r="36" spans="4:6" ht="16.5" x14ac:dyDescent="0.3">
      <c r="D36" s="60" t="s">
        <v>65</v>
      </c>
      <c r="E36" s="60" t="s">
        <v>75</v>
      </c>
      <c r="F36" s="60">
        <v>28</v>
      </c>
    </row>
    <row r="37" spans="4:6" ht="16.5" x14ac:dyDescent="0.3">
      <c r="D37" s="60" t="s">
        <v>66</v>
      </c>
      <c r="E37" s="60" t="s">
        <v>74</v>
      </c>
      <c r="F37" s="60">
        <v>19</v>
      </c>
    </row>
    <row r="38" spans="4:6" ht="16.5" x14ac:dyDescent="0.3">
      <c r="D38" s="60" t="s">
        <v>67</v>
      </c>
      <c r="E38" s="60" t="s">
        <v>78</v>
      </c>
      <c r="F38" s="60">
        <v>4</v>
      </c>
    </row>
    <row r="39" spans="4:6" ht="16.5" x14ac:dyDescent="0.3">
      <c r="D39" s="60" t="s">
        <v>80</v>
      </c>
      <c r="E39" s="60" t="s">
        <v>345</v>
      </c>
      <c r="F39" s="60">
        <v>127</v>
      </c>
    </row>
    <row r="40" spans="4:6" ht="16.5" x14ac:dyDescent="0.3">
      <c r="D40" s="60" t="s">
        <v>81</v>
      </c>
      <c r="E40" s="60" t="s">
        <v>344</v>
      </c>
      <c r="F40" s="60">
        <v>16</v>
      </c>
    </row>
    <row r="41" spans="4:6" ht="16.5" x14ac:dyDescent="0.3">
      <c r="D41" s="60" t="s">
        <v>82</v>
      </c>
      <c r="E41" s="60" t="s">
        <v>343</v>
      </c>
      <c r="F41" s="60">
        <v>39</v>
      </c>
    </row>
    <row r="42" spans="4:6" ht="16.5" x14ac:dyDescent="0.3">
      <c r="D42" s="60" t="s">
        <v>83</v>
      </c>
      <c r="E42" s="60" t="s">
        <v>342</v>
      </c>
      <c r="F42" s="60">
        <v>16</v>
      </c>
    </row>
    <row r="43" spans="4:6" ht="16.5" x14ac:dyDescent="0.3">
      <c r="D43" s="60" t="s">
        <v>84</v>
      </c>
      <c r="E43" s="60" t="s">
        <v>91</v>
      </c>
      <c r="F43" s="60">
        <v>39</v>
      </c>
    </row>
    <row r="44" spans="4:6" ht="16.5" x14ac:dyDescent="0.3">
      <c r="D44" s="60" t="s">
        <v>85</v>
      </c>
      <c r="E44" s="60" t="s">
        <v>92</v>
      </c>
      <c r="F44" s="60">
        <v>16</v>
      </c>
    </row>
    <row r="45" spans="4:6" ht="16.5" x14ac:dyDescent="0.3">
      <c r="D45" s="60" t="s">
        <v>86</v>
      </c>
      <c r="E45" s="60" t="s">
        <v>93</v>
      </c>
      <c r="F45" s="60">
        <v>37</v>
      </c>
    </row>
    <row r="46" spans="4:6" ht="16.5" x14ac:dyDescent="0.3">
      <c r="D46" s="60" t="s">
        <v>96</v>
      </c>
      <c r="E46" s="60" t="s">
        <v>73</v>
      </c>
      <c r="F46" s="60">
        <v>39</v>
      </c>
    </row>
    <row r="47" spans="4:6" ht="16.5" x14ac:dyDescent="0.3">
      <c r="D47" s="60" t="s">
        <v>97</v>
      </c>
      <c r="E47" s="60" t="s">
        <v>338</v>
      </c>
      <c r="F47" s="60">
        <v>17</v>
      </c>
    </row>
    <row r="48" spans="4:6" ht="16.5" x14ac:dyDescent="0.3">
      <c r="D48" s="60" t="s">
        <v>98</v>
      </c>
      <c r="E48" s="60" t="s">
        <v>337</v>
      </c>
      <c r="F48" s="60">
        <v>23</v>
      </c>
    </row>
    <row r="49" spans="4:6" ht="16.5" x14ac:dyDescent="0.3">
      <c r="D49" s="60" t="s">
        <v>101</v>
      </c>
      <c r="E49" s="60" t="s">
        <v>102</v>
      </c>
      <c r="F49" s="60">
        <v>24</v>
      </c>
    </row>
    <row r="50" spans="4:6" ht="16.5" x14ac:dyDescent="0.3">
      <c r="D50" s="60" t="s">
        <v>107</v>
      </c>
      <c r="E50" s="60" t="s">
        <v>103</v>
      </c>
      <c r="F50" s="60">
        <v>67</v>
      </c>
    </row>
    <row r="51" spans="4:6" ht="16.5" x14ac:dyDescent="0.3">
      <c r="D51" s="60" t="s">
        <v>108</v>
      </c>
      <c r="E51" s="60" t="s">
        <v>104</v>
      </c>
      <c r="F51" s="60">
        <v>73</v>
      </c>
    </row>
    <row r="52" spans="4:6" ht="16.5" x14ac:dyDescent="0.3">
      <c r="D52" s="60" t="s">
        <v>109</v>
      </c>
      <c r="E52" s="60" t="s">
        <v>105</v>
      </c>
      <c r="F52" s="60">
        <v>36</v>
      </c>
    </row>
    <row r="53" spans="4:6" ht="16.5" x14ac:dyDescent="0.3">
      <c r="D53" s="60" t="s">
        <v>110</v>
      </c>
      <c r="E53" s="60" t="s">
        <v>106</v>
      </c>
      <c r="F53" s="60">
        <v>20</v>
      </c>
    </row>
    <row r="54" spans="4:6" ht="16.5" x14ac:dyDescent="0.3">
      <c r="D54" s="60" t="s">
        <v>114</v>
      </c>
      <c r="E54" s="60" t="s">
        <v>115</v>
      </c>
      <c r="F54" s="60">
        <v>27</v>
      </c>
    </row>
    <row r="55" spans="4:6" ht="16.5" x14ac:dyDescent="0.3">
      <c r="D55" s="60" t="s">
        <v>119</v>
      </c>
      <c r="E55" s="60" t="s">
        <v>116</v>
      </c>
      <c r="F55" s="60">
        <v>9</v>
      </c>
    </row>
    <row r="56" spans="4:6" ht="16.5" x14ac:dyDescent="0.3">
      <c r="D56" s="60" t="s">
        <v>120</v>
      </c>
      <c r="E56" s="60" t="s">
        <v>117</v>
      </c>
      <c r="F56" s="60">
        <v>2</v>
      </c>
    </row>
    <row r="57" spans="4:6" ht="16.5" x14ac:dyDescent="0.3">
      <c r="D57" s="60" t="s">
        <v>121</v>
      </c>
      <c r="E57" s="60" t="s">
        <v>118</v>
      </c>
      <c r="F57" s="60">
        <v>2</v>
      </c>
    </row>
    <row r="58" spans="4:6" ht="16.5" x14ac:dyDescent="0.3">
      <c r="D58" s="60" t="s">
        <v>124</v>
      </c>
      <c r="E58" s="60" t="s">
        <v>122</v>
      </c>
      <c r="F58" s="60">
        <v>39</v>
      </c>
    </row>
    <row r="59" spans="4:6" ht="16.5" x14ac:dyDescent="0.3">
      <c r="D59" s="60" t="s">
        <v>134</v>
      </c>
      <c r="E59" s="60" t="s">
        <v>128</v>
      </c>
      <c r="F59" s="60">
        <v>-59</v>
      </c>
    </row>
    <row r="60" spans="4:6" ht="16.5" x14ac:dyDescent="0.3">
      <c r="D60" s="60" t="s">
        <v>135</v>
      </c>
      <c r="E60" s="60" t="s">
        <v>129</v>
      </c>
      <c r="F60" s="60">
        <v>5</v>
      </c>
    </row>
    <row r="61" spans="4:6" ht="16.5" x14ac:dyDescent="0.3">
      <c r="D61" s="60" t="s">
        <v>136</v>
      </c>
      <c r="E61" s="60" t="s">
        <v>130</v>
      </c>
      <c r="F61" s="60">
        <v>30</v>
      </c>
    </row>
    <row r="62" spans="4:6" ht="16.5" x14ac:dyDescent="0.3">
      <c r="D62" s="60" t="s">
        <v>137</v>
      </c>
      <c r="E62" s="60" t="s">
        <v>131</v>
      </c>
      <c r="F62" s="60">
        <v>9</v>
      </c>
    </row>
    <row r="63" spans="4:6" ht="16.5" x14ac:dyDescent="0.3">
      <c r="D63" s="60" t="s">
        <v>138</v>
      </c>
      <c r="E63" s="60" t="s">
        <v>142</v>
      </c>
      <c r="F63" s="60">
        <v>4</v>
      </c>
    </row>
    <row r="64" spans="4:6" ht="16.5" x14ac:dyDescent="0.3">
      <c r="D64" s="60" t="s">
        <v>139</v>
      </c>
      <c r="E64" s="60" t="s">
        <v>143</v>
      </c>
      <c r="F64" s="60">
        <v>5</v>
      </c>
    </row>
    <row r="65" spans="4:6" ht="16.5" x14ac:dyDescent="0.3">
      <c r="D65" s="60" t="s">
        <v>140</v>
      </c>
      <c r="E65" s="60" t="s">
        <v>144</v>
      </c>
      <c r="F65" s="60">
        <v>13</v>
      </c>
    </row>
    <row r="66" spans="4:6" ht="16.5" x14ac:dyDescent="0.3">
      <c r="D66" s="60" t="s">
        <v>141</v>
      </c>
      <c r="E66" s="60" t="s">
        <v>145</v>
      </c>
      <c r="F66" s="60">
        <v>2</v>
      </c>
    </row>
    <row r="67" spans="4:6" ht="16.5" x14ac:dyDescent="0.3">
      <c r="D67" s="60" t="s">
        <v>147</v>
      </c>
      <c r="E67" s="60" t="s">
        <v>146</v>
      </c>
      <c r="F67" s="60">
        <v>0</v>
      </c>
    </row>
    <row r="68" spans="4:6" ht="16.5" x14ac:dyDescent="0.3">
      <c r="D68" s="60" t="s">
        <v>151</v>
      </c>
      <c r="E68" s="60" t="s">
        <v>150</v>
      </c>
      <c r="F68" s="60">
        <v>53</v>
      </c>
    </row>
    <row r="69" spans="4:6" ht="16.5" x14ac:dyDescent="0.3">
      <c r="D69" s="60" t="s">
        <v>156</v>
      </c>
      <c r="E69" s="60" t="s">
        <v>152</v>
      </c>
      <c r="F69" s="60">
        <v>4</v>
      </c>
    </row>
    <row r="70" spans="4:6" ht="16.5" x14ac:dyDescent="0.3">
      <c r="D70" s="60" t="s">
        <v>157</v>
      </c>
      <c r="E70" s="60" t="s">
        <v>153</v>
      </c>
      <c r="F70" s="60">
        <v>49</v>
      </c>
    </row>
    <row r="71" spans="4:6" ht="16.5" x14ac:dyDescent="0.3">
      <c r="D71" s="60" t="s">
        <v>158</v>
      </c>
      <c r="E71" s="60" t="s">
        <v>154</v>
      </c>
      <c r="F71" s="60">
        <v>3</v>
      </c>
    </row>
    <row r="72" spans="4:6" ht="16.5" x14ac:dyDescent="0.3">
      <c r="D72" s="60" t="s">
        <v>159</v>
      </c>
      <c r="E72" s="60" t="s">
        <v>155</v>
      </c>
      <c r="F72" s="60">
        <v>36</v>
      </c>
    </row>
    <row r="73" spans="4:6" ht="16.5" x14ac:dyDescent="0.3">
      <c r="D73" s="60" t="s">
        <v>164</v>
      </c>
      <c r="E73" s="60" t="s">
        <v>165</v>
      </c>
      <c r="F73" s="60">
        <v>62</v>
      </c>
    </row>
    <row r="74" spans="4:6" ht="16.5" x14ac:dyDescent="0.3">
      <c r="D74" s="60" t="s">
        <v>173</v>
      </c>
      <c r="E74" s="60" t="s">
        <v>166</v>
      </c>
      <c r="F74" s="60">
        <v>0</v>
      </c>
    </row>
    <row r="75" spans="4:6" ht="16.5" x14ac:dyDescent="0.3">
      <c r="D75" s="60" t="s">
        <v>174</v>
      </c>
      <c r="E75" s="60" t="s">
        <v>167</v>
      </c>
      <c r="F75" s="60">
        <v>0</v>
      </c>
    </row>
    <row r="76" spans="4:6" ht="16.5" x14ac:dyDescent="0.3">
      <c r="D76" s="60" t="s">
        <v>175</v>
      </c>
      <c r="E76" s="60" t="s">
        <v>168</v>
      </c>
      <c r="F76" s="60">
        <v>0</v>
      </c>
    </row>
    <row r="77" spans="4:6" ht="16.5" x14ac:dyDescent="0.3">
      <c r="D77" s="60" t="s">
        <v>176</v>
      </c>
      <c r="E77" s="60" t="s">
        <v>169</v>
      </c>
      <c r="F77" s="60">
        <v>61</v>
      </c>
    </row>
    <row r="78" spans="4:6" ht="16.5" x14ac:dyDescent="0.3">
      <c r="D78" s="60" t="s">
        <v>177</v>
      </c>
      <c r="E78" s="60" t="s">
        <v>170</v>
      </c>
      <c r="F78" s="60">
        <v>0</v>
      </c>
    </row>
    <row r="79" spans="4:6" ht="16.5" x14ac:dyDescent="0.3">
      <c r="D79" s="60" t="s">
        <v>178</v>
      </c>
      <c r="E79" s="60" t="s">
        <v>171</v>
      </c>
      <c r="F79" s="60">
        <v>23</v>
      </c>
    </row>
    <row r="80" spans="4:6" ht="16.5" x14ac:dyDescent="0.3">
      <c r="D80" s="60" t="s">
        <v>179</v>
      </c>
      <c r="E80" s="60" t="s">
        <v>172</v>
      </c>
      <c r="F80" s="60">
        <v>32</v>
      </c>
    </row>
    <row r="81" spans="4:6" ht="16.5" x14ac:dyDescent="0.3">
      <c r="D81" s="60" t="s">
        <v>184</v>
      </c>
      <c r="E81" s="60" t="s">
        <v>180</v>
      </c>
      <c r="F81" s="60">
        <v>28</v>
      </c>
    </row>
    <row r="82" spans="4:6" ht="16.5" x14ac:dyDescent="0.3">
      <c r="D82" s="60" t="s">
        <v>220</v>
      </c>
      <c r="E82" s="60" t="s">
        <v>185</v>
      </c>
      <c r="F82" s="60">
        <v>0</v>
      </c>
    </row>
    <row r="83" spans="4:6" ht="16.5" x14ac:dyDescent="0.3">
      <c r="D83" s="60" t="s">
        <v>221</v>
      </c>
      <c r="E83" s="60" t="s">
        <v>186</v>
      </c>
      <c r="F83" s="60">
        <v>13</v>
      </c>
    </row>
    <row r="84" spans="4:6" ht="16.5" x14ac:dyDescent="0.3">
      <c r="D84" s="60" t="s">
        <v>222</v>
      </c>
      <c r="E84" s="60" t="s">
        <v>187</v>
      </c>
      <c r="F84" s="60">
        <v>39</v>
      </c>
    </row>
    <row r="85" spans="4:6" ht="16.5" x14ac:dyDescent="0.3">
      <c r="D85" s="60" t="s">
        <v>190</v>
      </c>
      <c r="E85" s="60" t="s">
        <v>191</v>
      </c>
      <c r="F85" s="60">
        <v>69</v>
      </c>
    </row>
    <row r="86" spans="4:6" ht="16.5" x14ac:dyDescent="0.3">
      <c r="D86" s="60" t="s">
        <v>203</v>
      </c>
      <c r="E86" s="60" t="s">
        <v>192</v>
      </c>
      <c r="F86" s="60">
        <v>67</v>
      </c>
    </row>
    <row r="87" spans="4:6" ht="16.5" x14ac:dyDescent="0.3">
      <c r="D87" s="60" t="s">
        <v>204</v>
      </c>
      <c r="E87" s="60" t="s">
        <v>193</v>
      </c>
      <c r="F87" s="60">
        <v>4</v>
      </c>
    </row>
    <row r="88" spans="4:6" ht="16.5" x14ac:dyDescent="0.3">
      <c r="D88" s="60" t="s">
        <v>205</v>
      </c>
      <c r="E88" s="60" t="s">
        <v>194</v>
      </c>
      <c r="F88" s="60">
        <v>10</v>
      </c>
    </row>
    <row r="89" spans="4:6" ht="16.5" x14ac:dyDescent="0.3">
      <c r="D89" s="60" t="s">
        <v>206</v>
      </c>
      <c r="E89" s="60" t="s">
        <v>195</v>
      </c>
      <c r="F89" s="60">
        <v>15</v>
      </c>
    </row>
    <row r="90" spans="4:6" ht="16.5" x14ac:dyDescent="0.3">
      <c r="D90" s="60" t="s">
        <v>207</v>
      </c>
      <c r="E90" s="60" t="s">
        <v>196</v>
      </c>
      <c r="F90" s="60">
        <v>5</v>
      </c>
    </row>
    <row r="91" spans="4:6" ht="16.5" x14ac:dyDescent="0.3">
      <c r="D91" s="60" t="s">
        <v>208</v>
      </c>
      <c r="E91" s="60" t="s">
        <v>197</v>
      </c>
      <c r="F91" s="60">
        <v>4</v>
      </c>
    </row>
    <row r="92" spans="4:6" ht="16.5" x14ac:dyDescent="0.3">
      <c r="D92" s="60" t="s">
        <v>209</v>
      </c>
      <c r="E92" s="60" t="s">
        <v>198</v>
      </c>
      <c r="F92" s="60">
        <v>0</v>
      </c>
    </row>
    <row r="93" spans="4:6" ht="16.5" x14ac:dyDescent="0.3">
      <c r="D93" s="60" t="s">
        <v>210</v>
      </c>
      <c r="E93" s="60" t="s">
        <v>199</v>
      </c>
      <c r="F93" s="60">
        <v>-10</v>
      </c>
    </row>
    <row r="94" spans="4:6" ht="16.5" x14ac:dyDescent="0.3">
      <c r="D94" s="60" t="s">
        <v>211</v>
      </c>
      <c r="E94" s="60" t="s">
        <v>200</v>
      </c>
      <c r="F94" s="60">
        <v>0</v>
      </c>
    </row>
    <row r="95" spans="4:6" ht="16.5" x14ac:dyDescent="0.3">
      <c r="D95" s="60" t="s">
        <v>212</v>
      </c>
      <c r="E95" s="60" t="s">
        <v>201</v>
      </c>
      <c r="F95" s="60">
        <v>0</v>
      </c>
    </row>
    <row r="96" spans="4:6" ht="16.5" x14ac:dyDescent="0.3">
      <c r="D96" s="60" t="s">
        <v>213</v>
      </c>
      <c r="E96" s="60" t="s">
        <v>202</v>
      </c>
      <c r="F96" s="60">
        <v>0</v>
      </c>
    </row>
    <row r="97" spans="4:6" ht="16.5" x14ac:dyDescent="0.3">
      <c r="D97" s="60" t="s">
        <v>369</v>
      </c>
      <c r="E97" s="60"/>
      <c r="F97" s="60">
        <v>1855</v>
      </c>
    </row>
  </sheetData>
  <mergeCells count="3">
    <mergeCell ref="A1:XFD3"/>
    <mergeCell ref="D5:F5"/>
    <mergeCell ref="J5:N5"/>
  </mergeCells>
  <conditionalFormatting pivot="1" sqref="N8:N11">
    <cfRule type="cellIs" dxfId="2" priority="7" operator="greaterThan">
      <formula>0</formula>
    </cfRule>
  </conditionalFormatting>
  <conditionalFormatting pivot="1" sqref="N8:N11">
    <cfRule type="cellIs" dxfId="1" priority="6" operator="lessThan">
      <formula>0</formula>
    </cfRule>
  </conditionalFormatting>
  <conditionalFormatting pivot="1" sqref="N8:N11">
    <cfRule type="cellIs" dxfId="0"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23" sqref="D23"/>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114" customFormat="1" x14ac:dyDescent="0.25">
      <c r="A1" s="114" t="s">
        <v>419</v>
      </c>
    </row>
    <row r="2" spans="1:13" s="114" customFormat="1" x14ac:dyDescent="0.25"/>
    <row r="3" spans="1:13" s="114" customFormat="1" x14ac:dyDescent="0.25"/>
    <row r="4" spans="1:13" s="23" customFormat="1" ht="9.9499999999999993" customHeight="1" x14ac:dyDescent="0.25"/>
    <row r="5" spans="1:13" s="23" customFormat="1" ht="28.5" x14ac:dyDescent="0.25">
      <c r="D5" s="115" t="s">
        <v>420</v>
      </c>
      <c r="E5" s="115"/>
      <c r="F5" s="115"/>
      <c r="H5" s="115" t="s">
        <v>423</v>
      </c>
      <c r="I5" s="115"/>
      <c r="J5" s="115"/>
      <c r="K5" s="115"/>
      <c r="L5" s="115"/>
      <c r="M5" s="115"/>
    </row>
    <row r="6" spans="1:13" ht="9.9499999999999993" customHeight="1" x14ac:dyDescent="0.25"/>
    <row r="7" spans="1:13" x14ac:dyDescent="0.25">
      <c r="D7" s="16" t="s">
        <v>421</v>
      </c>
      <c r="E7" t="s">
        <v>2</v>
      </c>
      <c r="F7" t="s">
        <v>422</v>
      </c>
    </row>
    <row r="8" spans="1:13" x14ac:dyDescent="0.25">
      <c r="D8" s="54" t="s">
        <v>216</v>
      </c>
      <c r="E8">
        <v>20</v>
      </c>
      <c r="F8" s="55">
        <v>20071.400000000001</v>
      </c>
    </row>
    <row r="9" spans="1:13" x14ac:dyDescent="0.25">
      <c r="D9" s="56" t="s">
        <v>199</v>
      </c>
      <c r="E9">
        <v>20</v>
      </c>
      <c r="F9" s="55">
        <v>20071.400000000001</v>
      </c>
    </row>
    <row r="10" spans="1:13" x14ac:dyDescent="0.25">
      <c r="D10" s="54" t="s">
        <v>127</v>
      </c>
      <c r="E10">
        <v>60</v>
      </c>
      <c r="F10" s="55">
        <v>19558.2</v>
      </c>
    </row>
    <row r="11" spans="1:13" x14ac:dyDescent="0.25">
      <c r="D11" s="56" t="s">
        <v>128</v>
      </c>
      <c r="E11">
        <v>60</v>
      </c>
      <c r="F11" s="55">
        <v>19558.2</v>
      </c>
    </row>
    <row r="12" spans="1:13" x14ac:dyDescent="0.25">
      <c r="D12" s="54" t="s">
        <v>111</v>
      </c>
      <c r="E12">
        <v>5</v>
      </c>
      <c r="F12" s="55">
        <v>2723.15</v>
      </c>
    </row>
    <row r="13" spans="1:13" x14ac:dyDescent="0.25">
      <c r="D13" s="56" t="s">
        <v>117</v>
      </c>
      <c r="E13">
        <v>5</v>
      </c>
      <c r="F13" s="55">
        <v>2723.15</v>
      </c>
    </row>
    <row r="14" spans="1:13" x14ac:dyDescent="0.25">
      <c r="D14" s="54" t="s">
        <v>372</v>
      </c>
      <c r="E14">
        <v>165</v>
      </c>
      <c r="F14" s="55">
        <v>73969.240000000005</v>
      </c>
    </row>
    <row r="15" spans="1:13" x14ac:dyDescent="0.25">
      <c r="D15" s="56" t="s">
        <v>357</v>
      </c>
      <c r="E15">
        <v>62</v>
      </c>
      <c r="F15" s="55">
        <v>21596.3</v>
      </c>
    </row>
    <row r="16" spans="1:13" x14ac:dyDescent="0.25">
      <c r="D16" s="56" t="s">
        <v>360</v>
      </c>
      <c r="E16">
        <v>5</v>
      </c>
      <c r="F16" s="55">
        <v>2891.63</v>
      </c>
    </row>
    <row r="17" spans="2:17" x14ac:dyDescent="0.25">
      <c r="D17" s="56" t="s">
        <v>363</v>
      </c>
      <c r="E17">
        <v>98</v>
      </c>
      <c r="F17" s="55">
        <v>49481.31</v>
      </c>
    </row>
    <row r="18" spans="2:17" x14ac:dyDescent="0.25">
      <c r="D18" s="54" t="s">
        <v>132</v>
      </c>
      <c r="E18">
        <v>5</v>
      </c>
      <c r="F18" s="55">
        <v>3383.4</v>
      </c>
    </row>
    <row r="19" spans="2:17" x14ac:dyDescent="0.25">
      <c r="D19" s="56" t="s">
        <v>165</v>
      </c>
      <c r="E19">
        <v>5</v>
      </c>
      <c r="F19" s="55">
        <v>3383.4</v>
      </c>
    </row>
    <row r="20" spans="2:17" x14ac:dyDescent="0.25">
      <c r="D20" s="54" t="s">
        <v>369</v>
      </c>
      <c r="E20">
        <v>255</v>
      </c>
      <c r="F20" s="55">
        <v>119705.39</v>
      </c>
    </row>
    <row r="23" spans="2:17" x14ac:dyDescent="0.25">
      <c r="B23" t="s">
        <v>230</v>
      </c>
    </row>
    <row r="27" spans="2:17" ht="28.5" x14ac:dyDescent="0.25">
      <c r="H27" s="115" t="s">
        <v>424</v>
      </c>
      <c r="I27" s="115"/>
      <c r="J27" s="115"/>
      <c r="K27" s="115"/>
      <c r="L27" s="115"/>
      <c r="M27" s="115"/>
      <c r="O27" s="16" t="s">
        <v>421</v>
      </c>
      <c r="P27" t="s">
        <v>2</v>
      </c>
      <c r="Q27" t="s">
        <v>422</v>
      </c>
    </row>
    <row r="28" spans="2:17" x14ac:dyDescent="0.25">
      <c r="O28" s="54" t="s">
        <v>425</v>
      </c>
      <c r="P28">
        <v>90</v>
      </c>
      <c r="Q28" s="55">
        <v>45244.38</v>
      </c>
    </row>
    <row r="29" spans="2:17" x14ac:dyDescent="0.25">
      <c r="O29" s="56" t="s">
        <v>426</v>
      </c>
      <c r="P29">
        <v>65</v>
      </c>
      <c r="Q29" s="55">
        <v>22449.83</v>
      </c>
    </row>
    <row r="30" spans="2:17" x14ac:dyDescent="0.25">
      <c r="O30" s="58" t="s">
        <v>432</v>
      </c>
      <c r="P30">
        <v>3</v>
      </c>
      <c r="Q30" s="55">
        <v>853.53</v>
      </c>
    </row>
    <row r="31" spans="2:17" x14ac:dyDescent="0.25">
      <c r="O31" s="58" t="s">
        <v>433</v>
      </c>
      <c r="P31">
        <v>62</v>
      </c>
      <c r="Q31" s="55">
        <v>21596.3</v>
      </c>
    </row>
    <row r="32" spans="2:17" x14ac:dyDescent="0.25">
      <c r="O32" s="56" t="s">
        <v>427</v>
      </c>
      <c r="P32">
        <v>25</v>
      </c>
      <c r="Q32" s="55">
        <v>22794.55</v>
      </c>
    </row>
    <row r="33" spans="15:17" x14ac:dyDescent="0.25">
      <c r="O33" s="58" t="s">
        <v>434</v>
      </c>
      <c r="P33">
        <v>25</v>
      </c>
      <c r="Q33" s="55">
        <v>22794.55</v>
      </c>
    </row>
    <row r="34" spans="15:17" x14ac:dyDescent="0.25">
      <c r="O34" s="54" t="s">
        <v>428</v>
      </c>
      <c r="P34">
        <v>165</v>
      </c>
      <c r="Q34" s="55">
        <v>74461.009999999995</v>
      </c>
    </row>
    <row r="35" spans="15:17" x14ac:dyDescent="0.25">
      <c r="O35" s="56" t="s">
        <v>429</v>
      </c>
      <c r="P35">
        <v>8</v>
      </c>
      <c r="Q35" s="55">
        <v>4236.93</v>
      </c>
    </row>
    <row r="36" spans="15:17" x14ac:dyDescent="0.25">
      <c r="O36" s="58" t="s">
        <v>435</v>
      </c>
      <c r="P36">
        <v>8</v>
      </c>
      <c r="Q36" s="55">
        <v>4236.93</v>
      </c>
    </row>
    <row r="37" spans="15:17" x14ac:dyDescent="0.25">
      <c r="O37" s="56" t="s">
        <v>430</v>
      </c>
      <c r="P37">
        <v>62</v>
      </c>
      <c r="Q37" s="55">
        <v>21596.3</v>
      </c>
    </row>
    <row r="38" spans="15:17" x14ac:dyDescent="0.25">
      <c r="O38" s="58" t="s">
        <v>436</v>
      </c>
      <c r="P38">
        <v>62</v>
      </c>
      <c r="Q38" s="55">
        <v>21596.3</v>
      </c>
    </row>
    <row r="39" spans="15:17" x14ac:dyDescent="0.25">
      <c r="O39" s="56" t="s">
        <v>431</v>
      </c>
      <c r="P39">
        <v>95</v>
      </c>
      <c r="Q39" s="55">
        <v>48627.78</v>
      </c>
    </row>
    <row r="40" spans="15:17" x14ac:dyDescent="0.25">
      <c r="O40" s="58" t="s">
        <v>437</v>
      </c>
      <c r="P40">
        <v>95</v>
      </c>
      <c r="Q40" s="55">
        <v>48627.78</v>
      </c>
    </row>
    <row r="41" spans="15:17" x14ac:dyDescent="0.25">
      <c r="O41" s="54" t="s">
        <v>369</v>
      </c>
      <c r="P41">
        <v>255</v>
      </c>
      <c r="Q41" s="55">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B30" sqref="B30:B31"/>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228</v>
      </c>
      <c r="C1" t="s">
        <v>3</v>
      </c>
      <c r="D1" s="3" t="s">
        <v>219</v>
      </c>
      <c r="E1" s="5" t="s">
        <v>217</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workbookViewId="0">
      <selection activeCell="F15" sqref="F15"/>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219</v>
      </c>
      <c r="E1" s="9" t="s">
        <v>217</v>
      </c>
      <c r="F1" s="7" t="s">
        <v>1</v>
      </c>
      <c r="G1" s="7" t="s">
        <v>371</v>
      </c>
      <c r="H1" s="7" t="s">
        <v>223</v>
      </c>
      <c r="I1" s="18" t="s">
        <v>225</v>
      </c>
    </row>
    <row r="2" spans="1:9" x14ac:dyDescent="0.25">
      <c r="A2" s="1" t="s">
        <v>9</v>
      </c>
      <c r="B2">
        <v>99</v>
      </c>
      <c r="C2" t="s">
        <v>218</v>
      </c>
      <c r="D2" s="3">
        <v>45218</v>
      </c>
      <c r="E2" s="5">
        <v>0.33333333333333331</v>
      </c>
      <c r="F2" t="s">
        <v>7</v>
      </c>
      <c r="G2" t="str">
        <f>_xlfn.XLOOKUP(entradas_hist[[#This Row],[ID]],total_leyenda[ID],total_leyenda[categoria])</f>
        <v>Parafinado</v>
      </c>
      <c r="H2" t="s">
        <v>226</v>
      </c>
      <c r="I2" s="19">
        <v>45317.6875</v>
      </c>
    </row>
    <row r="3" spans="1:9" x14ac:dyDescent="0.25">
      <c r="A3" s="10" t="s">
        <v>11</v>
      </c>
      <c r="B3" s="11">
        <v>60</v>
      </c>
      <c r="C3" s="11" t="s">
        <v>218</v>
      </c>
      <c r="D3" s="13">
        <v>45218</v>
      </c>
      <c r="E3" s="14">
        <v>0.33333333333333331</v>
      </c>
      <c r="F3" s="11" t="s">
        <v>10</v>
      </c>
      <c r="G3" s="12" t="str">
        <f>_xlfn.XLOOKUP(entradas_hist[[#This Row],[ID]],total_leyenda[ID],total_leyenda[categoria])</f>
        <v>Parafinado</v>
      </c>
      <c r="H3" t="s">
        <v>226</v>
      </c>
      <c r="I3" s="19">
        <v>45317.6875</v>
      </c>
    </row>
    <row r="4" spans="1:9" x14ac:dyDescent="0.25">
      <c r="A4" s="10" t="s">
        <v>13</v>
      </c>
      <c r="B4" s="12">
        <v>51</v>
      </c>
      <c r="C4" s="12" t="s">
        <v>218</v>
      </c>
      <c r="D4" s="13">
        <v>45218</v>
      </c>
      <c r="E4" s="14">
        <v>0.33333333333333331</v>
      </c>
      <c r="F4" s="12" t="s">
        <v>12</v>
      </c>
      <c r="G4" s="12" t="str">
        <f>_xlfn.XLOOKUP(entradas_hist[[#This Row],[ID]],total_leyenda[ID],total_leyenda[categoria])</f>
        <v>Parafinado</v>
      </c>
      <c r="H4" t="s">
        <v>226</v>
      </c>
      <c r="I4" s="19">
        <v>45317.6875</v>
      </c>
    </row>
    <row r="5" spans="1:9" x14ac:dyDescent="0.25">
      <c r="A5" s="10" t="s">
        <v>15</v>
      </c>
      <c r="B5" s="11">
        <v>0</v>
      </c>
      <c r="C5" s="11" t="s">
        <v>218</v>
      </c>
      <c r="D5" s="13">
        <v>45218</v>
      </c>
      <c r="E5" s="14">
        <v>0.33333333333333331</v>
      </c>
      <c r="F5" s="11" t="s">
        <v>14</v>
      </c>
      <c r="G5" s="12" t="str">
        <f>_xlfn.XLOOKUP(entradas_hist[[#This Row],[ID]],total_leyenda[ID],total_leyenda[categoria])</f>
        <v>Parafinado</v>
      </c>
      <c r="H5" t="s">
        <v>226</v>
      </c>
      <c r="I5" s="19">
        <v>45317.6875</v>
      </c>
    </row>
    <row r="6" spans="1:9" x14ac:dyDescent="0.25">
      <c r="A6" s="10" t="s">
        <v>16</v>
      </c>
      <c r="B6" s="12">
        <v>32</v>
      </c>
      <c r="C6" s="12" t="s">
        <v>218</v>
      </c>
      <c r="D6" s="13">
        <v>45218</v>
      </c>
      <c r="E6" s="14">
        <v>0.33333333333333331</v>
      </c>
      <c r="F6" s="12" t="s">
        <v>20</v>
      </c>
      <c r="G6" s="12" t="str">
        <f>_xlfn.XLOOKUP(entradas_hist[[#This Row],[ID]],total_leyenda[ID],total_leyenda[categoria])</f>
        <v>Parafinado</v>
      </c>
      <c r="H6" t="s">
        <v>226</v>
      </c>
      <c r="I6" s="19">
        <v>45317.6875</v>
      </c>
    </row>
    <row r="7" spans="1:9" x14ac:dyDescent="0.25">
      <c r="A7" s="10" t="s">
        <v>17</v>
      </c>
      <c r="B7" s="12">
        <v>10</v>
      </c>
      <c r="C7" s="12" t="s">
        <v>218</v>
      </c>
      <c r="D7" s="13">
        <v>45218</v>
      </c>
      <c r="E7" s="14">
        <v>0.33333333333333331</v>
      </c>
      <c r="F7" s="12" t="s">
        <v>21</v>
      </c>
      <c r="G7" s="12" t="str">
        <f>_xlfn.XLOOKUP(entradas_hist[[#This Row],[ID]],total_leyenda[ID],total_leyenda[categoria])</f>
        <v>Parafinado</v>
      </c>
      <c r="H7" t="s">
        <v>226</v>
      </c>
      <c r="I7" s="19">
        <v>45317.6875</v>
      </c>
    </row>
    <row r="8" spans="1:9" x14ac:dyDescent="0.25">
      <c r="A8" s="10" t="s">
        <v>18</v>
      </c>
      <c r="B8" s="12">
        <v>17</v>
      </c>
      <c r="C8" s="12" t="s">
        <v>218</v>
      </c>
      <c r="D8" s="13">
        <v>45218</v>
      </c>
      <c r="E8" s="14">
        <v>0.33333333333333331</v>
      </c>
      <c r="F8" s="12" t="s">
        <v>22</v>
      </c>
      <c r="G8" s="12" t="str">
        <f>_xlfn.XLOOKUP(entradas_hist[[#This Row],[ID]],total_leyenda[ID],total_leyenda[categoria])</f>
        <v>Parafinado</v>
      </c>
      <c r="H8" t="s">
        <v>226</v>
      </c>
      <c r="I8" s="19">
        <v>45317.6875</v>
      </c>
    </row>
    <row r="9" spans="1:9" x14ac:dyDescent="0.25">
      <c r="A9" s="10" t="s">
        <v>19</v>
      </c>
      <c r="B9" s="12">
        <v>21</v>
      </c>
      <c r="C9" s="12" t="s">
        <v>218</v>
      </c>
      <c r="D9" s="13">
        <v>45218</v>
      </c>
      <c r="E9" s="14">
        <v>0.33333333333333331</v>
      </c>
      <c r="F9" s="12" t="s">
        <v>23</v>
      </c>
      <c r="G9" s="12" t="str">
        <f>_xlfn.XLOOKUP(entradas_hist[[#This Row],[ID]],total_leyenda[ID],total_leyenda[categoria])</f>
        <v>Parafinado</v>
      </c>
      <c r="H9" t="s">
        <v>226</v>
      </c>
      <c r="I9" s="19">
        <v>45317.6875</v>
      </c>
    </row>
    <row r="10" spans="1:9" x14ac:dyDescent="0.25">
      <c r="A10" s="10" t="s">
        <v>27</v>
      </c>
      <c r="B10" s="12">
        <v>9</v>
      </c>
      <c r="C10" s="12" t="s">
        <v>218</v>
      </c>
      <c r="D10" s="13">
        <v>45218</v>
      </c>
      <c r="E10" s="14">
        <v>0.33333333333333331</v>
      </c>
      <c r="F10" s="12" t="s">
        <v>28</v>
      </c>
      <c r="G10" s="12" t="str">
        <f>_xlfn.XLOOKUP(entradas_hist[[#This Row],[ID]],total_leyenda[ID],total_leyenda[categoria])</f>
        <v>Parafinado</v>
      </c>
      <c r="H10" t="s">
        <v>226</v>
      </c>
      <c r="I10" s="19">
        <v>45317.6875</v>
      </c>
    </row>
    <row r="11" spans="1:9" x14ac:dyDescent="0.25">
      <c r="A11" s="10" t="s">
        <v>29</v>
      </c>
      <c r="B11" s="12">
        <v>0</v>
      </c>
      <c r="C11" s="12" t="s">
        <v>218</v>
      </c>
      <c r="D11" s="13">
        <v>45218</v>
      </c>
      <c r="E11" s="14">
        <v>0.33333333333333331</v>
      </c>
      <c r="F11" s="12" t="s">
        <v>36</v>
      </c>
      <c r="G11" s="12" t="str">
        <f>_xlfn.XLOOKUP(entradas_hist[[#This Row],[ID]],total_leyenda[ID],total_leyenda[categoria])</f>
        <v>Parafinado</v>
      </c>
      <c r="H11" t="s">
        <v>226</v>
      </c>
      <c r="I11" s="19">
        <v>45317.6875</v>
      </c>
    </row>
    <row r="12" spans="1:9" x14ac:dyDescent="0.25">
      <c r="A12" s="10" t="s">
        <v>30</v>
      </c>
      <c r="B12" s="12">
        <v>35</v>
      </c>
      <c r="C12" s="12" t="s">
        <v>218</v>
      </c>
      <c r="D12" s="13">
        <v>45218</v>
      </c>
      <c r="E12" s="14">
        <v>0.33333333333333331</v>
      </c>
      <c r="F12" s="12" t="s">
        <v>37</v>
      </c>
      <c r="G12" s="12" t="str">
        <f>_xlfn.XLOOKUP(entradas_hist[[#This Row],[ID]],total_leyenda[ID],total_leyenda[categoria])</f>
        <v>Parafinado</v>
      </c>
      <c r="H12" t="s">
        <v>226</v>
      </c>
      <c r="I12" s="19">
        <v>45317.6875</v>
      </c>
    </row>
    <row r="13" spans="1:9" x14ac:dyDescent="0.25">
      <c r="A13" s="10" t="s">
        <v>31</v>
      </c>
      <c r="B13" s="12">
        <v>4</v>
      </c>
      <c r="C13" s="12" t="s">
        <v>218</v>
      </c>
      <c r="D13" s="13">
        <v>45218</v>
      </c>
      <c r="E13" s="14">
        <v>0.33333333333333331</v>
      </c>
      <c r="F13" s="12" t="s">
        <v>38</v>
      </c>
      <c r="G13" s="12" t="str">
        <f>_xlfn.XLOOKUP(entradas_hist[[#This Row],[ID]],total_leyenda[ID],total_leyenda[categoria])</f>
        <v>Parafinado</v>
      </c>
      <c r="H13" t="s">
        <v>226</v>
      </c>
      <c r="I13" s="19">
        <v>45317.6875</v>
      </c>
    </row>
    <row r="14" spans="1:9" x14ac:dyDescent="0.25">
      <c r="A14" s="10" t="s">
        <v>32</v>
      </c>
      <c r="B14" s="12">
        <v>21</v>
      </c>
      <c r="C14" s="12" t="s">
        <v>218</v>
      </c>
      <c r="D14" s="13">
        <v>45218</v>
      </c>
      <c r="E14" s="14">
        <v>0.33333333333333331</v>
      </c>
      <c r="F14" s="12" t="s">
        <v>39</v>
      </c>
      <c r="G14" s="12" t="str">
        <f>_xlfn.XLOOKUP(entradas_hist[[#This Row],[ID]],total_leyenda[ID],total_leyenda[categoria])</f>
        <v>Parafinado</v>
      </c>
      <c r="H14" t="s">
        <v>226</v>
      </c>
      <c r="I14" s="19">
        <v>45317.6875</v>
      </c>
    </row>
    <row r="15" spans="1:9" x14ac:dyDescent="0.25">
      <c r="A15" s="10" t="s">
        <v>33</v>
      </c>
      <c r="B15" s="12">
        <v>14</v>
      </c>
      <c r="C15" s="12" t="s">
        <v>218</v>
      </c>
      <c r="D15" s="13">
        <v>45218</v>
      </c>
      <c r="E15" s="14">
        <v>0.33333333333333331</v>
      </c>
      <c r="F15" s="12" t="s">
        <v>40</v>
      </c>
      <c r="G15" s="12" t="str">
        <f>_xlfn.XLOOKUP(entradas_hist[[#This Row],[ID]],total_leyenda[ID],total_leyenda[categoria])</f>
        <v>Parafinado</v>
      </c>
      <c r="H15" t="s">
        <v>226</v>
      </c>
      <c r="I15" s="19">
        <v>45317.6875</v>
      </c>
    </row>
    <row r="16" spans="1:9" x14ac:dyDescent="0.25">
      <c r="A16" s="10" t="s">
        <v>34</v>
      </c>
      <c r="B16" s="12">
        <v>12</v>
      </c>
      <c r="C16" s="12" t="s">
        <v>218</v>
      </c>
      <c r="D16" s="13">
        <v>45218</v>
      </c>
      <c r="E16" s="14">
        <v>0.33333333333333331</v>
      </c>
      <c r="F16" s="12" t="s">
        <v>41</v>
      </c>
      <c r="G16" s="12" t="str">
        <f>_xlfn.XLOOKUP(entradas_hist[[#This Row],[ID]],total_leyenda[ID],total_leyenda[categoria])</f>
        <v>Parafinado</v>
      </c>
      <c r="H16" t="s">
        <v>226</v>
      </c>
      <c r="I16" s="19">
        <v>45317.6875</v>
      </c>
    </row>
    <row r="17" spans="1:9" x14ac:dyDescent="0.25">
      <c r="A17" s="10" t="s">
        <v>35</v>
      </c>
      <c r="B17" s="12">
        <v>0</v>
      </c>
      <c r="C17" s="12" t="s">
        <v>218</v>
      </c>
      <c r="D17" s="13">
        <v>45218</v>
      </c>
      <c r="E17" s="14">
        <v>0.33333333333333331</v>
      </c>
      <c r="F17" s="12" t="s">
        <v>42</v>
      </c>
      <c r="G17" s="12" t="str">
        <f>_xlfn.XLOOKUP(entradas_hist[[#This Row],[ID]],total_leyenda[ID],total_leyenda[categoria])</f>
        <v>Parafinado</v>
      </c>
      <c r="H17" t="s">
        <v>226</v>
      </c>
      <c r="I17" s="19">
        <v>45317.6875</v>
      </c>
    </row>
    <row r="18" spans="1:9" x14ac:dyDescent="0.25">
      <c r="A18" s="10" t="s">
        <v>44</v>
      </c>
      <c r="B18" s="12">
        <v>15</v>
      </c>
      <c r="C18" s="12" t="s">
        <v>218</v>
      </c>
      <c r="D18" s="13">
        <v>45218</v>
      </c>
      <c r="E18" s="14">
        <v>0.33333333333333331</v>
      </c>
      <c r="F18" s="12" t="s">
        <v>52</v>
      </c>
      <c r="G18" s="12" t="str">
        <f>_xlfn.XLOOKUP(entradas_hist[[#This Row],[ID]],total_leyenda[ID],total_leyenda[categoria])</f>
        <v>Parafinado</v>
      </c>
      <c r="H18" t="s">
        <v>226</v>
      </c>
      <c r="I18" s="19">
        <v>45317.6875</v>
      </c>
    </row>
    <row r="19" spans="1:9" x14ac:dyDescent="0.25">
      <c r="A19" s="10" t="s">
        <v>45</v>
      </c>
      <c r="B19" s="12">
        <v>8</v>
      </c>
      <c r="C19" s="12" t="s">
        <v>218</v>
      </c>
      <c r="D19" s="13">
        <v>45218</v>
      </c>
      <c r="E19" s="14">
        <v>0.33333333333333331</v>
      </c>
      <c r="F19" s="12" t="s">
        <v>53</v>
      </c>
      <c r="G19" s="12" t="str">
        <f>_xlfn.XLOOKUP(entradas_hist[[#This Row],[ID]],total_leyenda[ID],total_leyenda[categoria])</f>
        <v>Parafinado</v>
      </c>
      <c r="H19" t="s">
        <v>226</v>
      </c>
      <c r="I19" s="19">
        <v>45317.6875</v>
      </c>
    </row>
    <row r="20" spans="1:9" x14ac:dyDescent="0.25">
      <c r="A20" s="10" t="s">
        <v>46</v>
      </c>
      <c r="B20" s="12">
        <v>46</v>
      </c>
      <c r="C20" s="12" t="s">
        <v>218</v>
      </c>
      <c r="D20" s="13">
        <v>45218</v>
      </c>
      <c r="E20" s="14">
        <v>0.33333333333333331</v>
      </c>
      <c r="F20" s="12" t="s">
        <v>54</v>
      </c>
      <c r="G20" s="12" t="str">
        <f>_xlfn.XLOOKUP(entradas_hist[[#This Row],[ID]],total_leyenda[ID],total_leyenda[categoria])</f>
        <v>Parafinado</v>
      </c>
      <c r="H20" t="s">
        <v>226</v>
      </c>
      <c r="I20" s="19">
        <v>45317.6875</v>
      </c>
    </row>
    <row r="21" spans="1:9" x14ac:dyDescent="0.25">
      <c r="A21" s="10" t="s">
        <v>47</v>
      </c>
      <c r="B21" s="12">
        <v>15</v>
      </c>
      <c r="C21" s="12" t="s">
        <v>218</v>
      </c>
      <c r="D21" s="13">
        <v>45218</v>
      </c>
      <c r="E21" s="14">
        <v>0.33333333333333331</v>
      </c>
      <c r="F21" s="12" t="s">
        <v>55</v>
      </c>
      <c r="G21" s="12" t="str">
        <f>_xlfn.XLOOKUP(entradas_hist[[#This Row],[ID]],total_leyenda[ID],total_leyenda[categoria])</f>
        <v>Parafinado</v>
      </c>
      <c r="H21" t="s">
        <v>226</v>
      </c>
      <c r="I21" s="19">
        <v>45317.6875</v>
      </c>
    </row>
    <row r="22" spans="1:9" x14ac:dyDescent="0.25">
      <c r="A22" s="10" t="s">
        <v>48</v>
      </c>
      <c r="B22" s="12">
        <v>14</v>
      </c>
      <c r="C22" s="12" t="s">
        <v>218</v>
      </c>
      <c r="D22" s="13">
        <v>45218</v>
      </c>
      <c r="E22" s="14">
        <v>0.33333333333333331</v>
      </c>
      <c r="F22" s="12" t="s">
        <v>56</v>
      </c>
      <c r="G22" s="12" t="str">
        <f>_xlfn.XLOOKUP(entradas_hist[[#This Row],[ID]],total_leyenda[ID],total_leyenda[categoria])</f>
        <v>Parafinado</v>
      </c>
      <c r="H22" t="s">
        <v>226</v>
      </c>
      <c r="I22" s="19">
        <v>45317.6875</v>
      </c>
    </row>
    <row r="23" spans="1:9" x14ac:dyDescent="0.25">
      <c r="A23" s="10" t="s">
        <v>49</v>
      </c>
      <c r="B23" s="12">
        <v>15</v>
      </c>
      <c r="C23" s="12" t="s">
        <v>218</v>
      </c>
      <c r="D23" s="13">
        <v>45218</v>
      </c>
      <c r="E23" s="14">
        <v>0.33333333333333331</v>
      </c>
      <c r="F23" s="12" t="s">
        <v>57</v>
      </c>
      <c r="G23" s="12" t="str">
        <f>_xlfn.XLOOKUP(entradas_hist[[#This Row],[ID]],total_leyenda[ID],total_leyenda[categoria])</f>
        <v>Parafinado</v>
      </c>
      <c r="H23" t="s">
        <v>226</v>
      </c>
      <c r="I23" s="19">
        <v>45317.6875</v>
      </c>
    </row>
    <row r="24" spans="1:9" x14ac:dyDescent="0.25">
      <c r="A24" s="10" t="s">
        <v>50</v>
      </c>
      <c r="B24" s="12">
        <v>13</v>
      </c>
      <c r="C24" s="12" t="s">
        <v>218</v>
      </c>
      <c r="D24" s="13">
        <v>45218</v>
      </c>
      <c r="E24" s="14">
        <v>0.33333333333333331</v>
      </c>
      <c r="F24" s="12" t="s">
        <v>58</v>
      </c>
      <c r="G24" s="12" t="str">
        <f>_xlfn.XLOOKUP(entradas_hist[[#This Row],[ID]],total_leyenda[ID],total_leyenda[categoria])</f>
        <v>Parafinado</v>
      </c>
      <c r="H24" t="s">
        <v>226</v>
      </c>
      <c r="I24" s="19">
        <v>45317.6875</v>
      </c>
    </row>
    <row r="25" spans="1:9" x14ac:dyDescent="0.25">
      <c r="A25" s="10" t="s">
        <v>61</v>
      </c>
      <c r="B25" s="12">
        <v>126</v>
      </c>
      <c r="C25" s="12" t="s">
        <v>218</v>
      </c>
      <c r="D25" s="13">
        <v>45218</v>
      </c>
      <c r="E25" s="14">
        <v>0.33333333333333331</v>
      </c>
      <c r="F25" s="12" t="s">
        <v>68</v>
      </c>
      <c r="G25" s="12" t="str">
        <f>_xlfn.XLOOKUP(entradas_hist[[#This Row],[ID]],total_leyenda[ID],total_leyenda[categoria])</f>
        <v>Parafinado</v>
      </c>
      <c r="H25" t="s">
        <v>226</v>
      </c>
      <c r="I25" s="19">
        <v>45317.6875</v>
      </c>
    </row>
    <row r="26" spans="1:9" x14ac:dyDescent="0.25">
      <c r="A26" s="10" t="s">
        <v>62</v>
      </c>
      <c r="B26" s="12">
        <v>26</v>
      </c>
      <c r="C26" s="12" t="s">
        <v>218</v>
      </c>
      <c r="D26" s="13">
        <v>45218</v>
      </c>
      <c r="E26" s="14">
        <v>0.33333333333333331</v>
      </c>
      <c r="F26" s="12" t="s">
        <v>69</v>
      </c>
      <c r="G26" s="12" t="str">
        <f>_xlfn.XLOOKUP(entradas_hist[[#This Row],[ID]],total_leyenda[ID],total_leyenda[categoria])</f>
        <v>Parafinado</v>
      </c>
      <c r="H26" t="s">
        <v>226</v>
      </c>
      <c r="I26" s="19">
        <v>45317.6875</v>
      </c>
    </row>
    <row r="27" spans="1:9" x14ac:dyDescent="0.25">
      <c r="A27" s="10" t="s">
        <v>63</v>
      </c>
      <c r="B27" s="12">
        <v>32</v>
      </c>
      <c r="C27" s="12" t="s">
        <v>218</v>
      </c>
      <c r="D27" s="13">
        <v>45218</v>
      </c>
      <c r="E27" s="14">
        <v>0.33333333333333331</v>
      </c>
      <c r="F27" s="12" t="s">
        <v>70</v>
      </c>
      <c r="G27" s="12" t="str">
        <f>_xlfn.XLOOKUP(entradas_hist[[#This Row],[ID]],total_leyenda[ID],total_leyenda[categoria])</f>
        <v>Parafinado</v>
      </c>
      <c r="H27" t="s">
        <v>226</v>
      </c>
      <c r="I27" s="19">
        <v>45317.6875</v>
      </c>
    </row>
    <row r="28" spans="1:9" x14ac:dyDescent="0.25">
      <c r="A28" s="10" t="s">
        <v>64</v>
      </c>
      <c r="B28" s="12">
        <v>30</v>
      </c>
      <c r="C28" s="12" t="s">
        <v>218</v>
      </c>
      <c r="D28" s="13">
        <v>45218</v>
      </c>
      <c r="E28" s="14">
        <v>0.33333333333333331</v>
      </c>
      <c r="F28" s="12" t="s">
        <v>71</v>
      </c>
      <c r="G28" s="12" t="str">
        <f>_xlfn.XLOOKUP(entradas_hist[[#This Row],[ID]],total_leyenda[ID],total_leyenda[categoria])</f>
        <v>Parafinado</v>
      </c>
      <c r="H28" t="s">
        <v>226</v>
      </c>
      <c r="I28" s="19">
        <v>45317.6875</v>
      </c>
    </row>
    <row r="29" spans="1:9" x14ac:dyDescent="0.25">
      <c r="A29" s="10" t="s">
        <v>65</v>
      </c>
      <c r="B29" s="12">
        <v>28</v>
      </c>
      <c r="C29" s="12" t="s">
        <v>218</v>
      </c>
      <c r="D29" s="13">
        <v>45218</v>
      </c>
      <c r="E29" s="14">
        <v>0.33333333333333331</v>
      </c>
      <c r="F29" s="12" t="s">
        <v>75</v>
      </c>
      <c r="G29" s="12" t="str">
        <f>_xlfn.XLOOKUP(entradas_hist[[#This Row],[ID]],total_leyenda[ID],total_leyenda[categoria])</f>
        <v>Parafinado</v>
      </c>
      <c r="H29" t="s">
        <v>226</v>
      </c>
      <c r="I29" s="19">
        <v>45317.6875</v>
      </c>
    </row>
    <row r="30" spans="1:9" x14ac:dyDescent="0.25">
      <c r="A30" s="10" t="s">
        <v>66</v>
      </c>
      <c r="B30" s="12">
        <v>19</v>
      </c>
      <c r="C30" s="12" t="s">
        <v>218</v>
      </c>
      <c r="D30" s="13">
        <v>45218</v>
      </c>
      <c r="E30" s="14">
        <v>0.33333333333333331</v>
      </c>
      <c r="F30" s="12" t="s">
        <v>74</v>
      </c>
      <c r="G30" s="12" t="str">
        <f>_xlfn.XLOOKUP(entradas_hist[[#This Row],[ID]],total_leyenda[ID],total_leyenda[categoria])</f>
        <v>Parafinado</v>
      </c>
      <c r="H30" t="s">
        <v>226</v>
      </c>
      <c r="I30" s="19">
        <v>45317.6875</v>
      </c>
    </row>
    <row r="31" spans="1:9" x14ac:dyDescent="0.25">
      <c r="A31" s="10" t="s">
        <v>67</v>
      </c>
      <c r="B31" s="12">
        <v>4</v>
      </c>
      <c r="C31" s="12" t="s">
        <v>218</v>
      </c>
      <c r="D31" s="13">
        <v>45218</v>
      </c>
      <c r="E31" s="14">
        <v>0.33333333333333331</v>
      </c>
      <c r="F31" s="12" t="s">
        <v>78</v>
      </c>
      <c r="G31" s="12" t="str">
        <f>_xlfn.XLOOKUP(entradas_hist[[#This Row],[ID]],total_leyenda[ID],total_leyenda[categoria])</f>
        <v>Parafinado</v>
      </c>
      <c r="H31" t="s">
        <v>226</v>
      </c>
      <c r="I31" s="19">
        <v>45317.6875</v>
      </c>
    </row>
    <row r="32" spans="1:9" x14ac:dyDescent="0.25">
      <c r="A32" s="10" t="s">
        <v>80</v>
      </c>
      <c r="B32" s="12">
        <v>127</v>
      </c>
      <c r="C32" s="12" t="s">
        <v>218</v>
      </c>
      <c r="D32" s="13">
        <v>45218</v>
      </c>
      <c r="E32" s="14">
        <v>0.33333333333333331</v>
      </c>
      <c r="F32" s="12" t="s">
        <v>87</v>
      </c>
      <c r="G32" s="12" t="str">
        <f>_xlfn.XLOOKUP(entradas_hist[[#This Row],[ID]],total_leyenda[ID],total_leyenda[categoria])</f>
        <v>Parafinado</v>
      </c>
      <c r="H32" t="s">
        <v>226</v>
      </c>
      <c r="I32" s="19">
        <v>45317.6875</v>
      </c>
    </row>
    <row r="33" spans="1:9" x14ac:dyDescent="0.25">
      <c r="A33" s="10" t="s">
        <v>81</v>
      </c>
      <c r="B33" s="12">
        <v>16</v>
      </c>
      <c r="C33" s="12" t="s">
        <v>218</v>
      </c>
      <c r="D33" s="13">
        <v>45218</v>
      </c>
      <c r="E33" s="14">
        <v>0.33333333333333331</v>
      </c>
      <c r="F33" s="12" t="s">
        <v>88</v>
      </c>
      <c r="G33" s="12" t="str">
        <f>_xlfn.XLOOKUP(entradas_hist[[#This Row],[ID]],total_leyenda[ID],total_leyenda[categoria])</f>
        <v>Parafinado</v>
      </c>
      <c r="H33" t="s">
        <v>226</v>
      </c>
      <c r="I33" s="19">
        <v>45317.6875</v>
      </c>
    </row>
    <row r="34" spans="1:9" x14ac:dyDescent="0.25">
      <c r="A34" s="10" t="s">
        <v>82</v>
      </c>
      <c r="B34" s="12">
        <v>39</v>
      </c>
      <c r="C34" s="12" t="s">
        <v>218</v>
      </c>
      <c r="D34" s="13">
        <v>45218</v>
      </c>
      <c r="E34" s="14">
        <v>0.33333333333333331</v>
      </c>
      <c r="F34" s="12" t="s">
        <v>89</v>
      </c>
      <c r="G34" s="12" t="str">
        <f>_xlfn.XLOOKUP(entradas_hist[[#This Row],[ID]],total_leyenda[ID],total_leyenda[categoria])</f>
        <v>Parafinado</v>
      </c>
      <c r="H34" t="s">
        <v>226</v>
      </c>
      <c r="I34" s="19">
        <v>45317.6875</v>
      </c>
    </row>
    <row r="35" spans="1:9" x14ac:dyDescent="0.25">
      <c r="A35" s="10" t="s">
        <v>83</v>
      </c>
      <c r="B35" s="12">
        <v>16</v>
      </c>
      <c r="C35" s="12" t="s">
        <v>218</v>
      </c>
      <c r="D35" s="13">
        <v>45218</v>
      </c>
      <c r="E35" s="14">
        <v>0.33333333333333331</v>
      </c>
      <c r="F35" s="12" t="s">
        <v>90</v>
      </c>
      <c r="G35" s="12" t="str">
        <f>_xlfn.XLOOKUP(entradas_hist[[#This Row],[ID]],total_leyenda[ID],total_leyenda[categoria])</f>
        <v>Parafinado</v>
      </c>
      <c r="H35" t="s">
        <v>226</v>
      </c>
      <c r="I35" s="19">
        <v>45317.6875</v>
      </c>
    </row>
    <row r="36" spans="1:9" x14ac:dyDescent="0.25">
      <c r="A36" s="10" t="s">
        <v>84</v>
      </c>
      <c r="B36" s="12">
        <v>39</v>
      </c>
      <c r="C36" s="12" t="s">
        <v>218</v>
      </c>
      <c r="D36" s="13">
        <v>45218</v>
      </c>
      <c r="E36" s="14">
        <v>0.33333333333333331</v>
      </c>
      <c r="F36" s="12" t="s">
        <v>91</v>
      </c>
      <c r="G36" s="12" t="str">
        <f>_xlfn.XLOOKUP(entradas_hist[[#This Row],[ID]],total_leyenda[ID],total_leyenda[categoria])</f>
        <v>Parafinado</v>
      </c>
      <c r="H36" t="s">
        <v>226</v>
      </c>
      <c r="I36" s="19">
        <v>45317.6875</v>
      </c>
    </row>
    <row r="37" spans="1:9" x14ac:dyDescent="0.25">
      <c r="A37" s="10" t="s">
        <v>85</v>
      </c>
      <c r="B37" s="12">
        <v>16</v>
      </c>
      <c r="C37" s="12" t="s">
        <v>218</v>
      </c>
      <c r="D37" s="13">
        <v>45218</v>
      </c>
      <c r="E37" s="14">
        <v>0.33333333333333331</v>
      </c>
      <c r="F37" s="12" t="s">
        <v>92</v>
      </c>
      <c r="G37" s="12" t="str">
        <f>_xlfn.XLOOKUP(entradas_hist[[#This Row],[ID]],total_leyenda[ID],total_leyenda[categoria])</f>
        <v>Parafinado</v>
      </c>
      <c r="H37" t="s">
        <v>226</v>
      </c>
      <c r="I37" s="19">
        <v>45317.6875</v>
      </c>
    </row>
    <row r="38" spans="1:9" x14ac:dyDescent="0.25">
      <c r="A38" s="10" t="s">
        <v>86</v>
      </c>
      <c r="B38" s="12">
        <v>37</v>
      </c>
      <c r="C38" s="12" t="s">
        <v>218</v>
      </c>
      <c r="D38" s="13">
        <v>45218</v>
      </c>
      <c r="E38" s="14">
        <v>0.33333333333333331</v>
      </c>
      <c r="F38" s="12" t="s">
        <v>93</v>
      </c>
      <c r="G38" s="12" t="str">
        <f>_xlfn.XLOOKUP(entradas_hist[[#This Row],[ID]],total_leyenda[ID],total_leyenda[categoria])</f>
        <v>Parafinado</v>
      </c>
      <c r="H38" t="s">
        <v>226</v>
      </c>
      <c r="I38" s="19">
        <v>45317.6875</v>
      </c>
    </row>
    <row r="39" spans="1:9" x14ac:dyDescent="0.25">
      <c r="A39" s="10" t="s">
        <v>96</v>
      </c>
      <c r="B39" s="12">
        <v>39</v>
      </c>
      <c r="C39" s="12" t="s">
        <v>218</v>
      </c>
      <c r="D39" s="13">
        <v>45218</v>
      </c>
      <c r="E39" s="14">
        <v>0.33333333333333331</v>
      </c>
      <c r="F39" s="12" t="s">
        <v>73</v>
      </c>
      <c r="G39" s="12" t="str">
        <f>_xlfn.XLOOKUP(entradas_hist[[#This Row],[ID]],total_leyenda[ID],total_leyenda[categoria])</f>
        <v>Parafinado</v>
      </c>
      <c r="H39" t="s">
        <v>226</v>
      </c>
      <c r="I39" s="19">
        <v>45317.6875</v>
      </c>
    </row>
    <row r="40" spans="1:9" x14ac:dyDescent="0.25">
      <c r="A40" s="10" t="s">
        <v>97</v>
      </c>
      <c r="B40" s="12">
        <v>17</v>
      </c>
      <c r="C40" s="12" t="s">
        <v>218</v>
      </c>
      <c r="D40" s="13">
        <v>45218</v>
      </c>
      <c r="E40" s="14">
        <v>0.33333333333333331</v>
      </c>
      <c r="F40" s="12" t="s">
        <v>76</v>
      </c>
      <c r="G40" s="12" t="str">
        <f>_xlfn.XLOOKUP(entradas_hist[[#This Row],[ID]],total_leyenda[ID],total_leyenda[categoria])</f>
        <v>Parafinado</v>
      </c>
      <c r="H40" t="s">
        <v>226</v>
      </c>
      <c r="I40" s="19">
        <v>45317.6875</v>
      </c>
    </row>
    <row r="41" spans="1:9" x14ac:dyDescent="0.25">
      <c r="A41" s="10" t="s">
        <v>98</v>
      </c>
      <c r="B41" s="12">
        <v>23</v>
      </c>
      <c r="C41" s="12" t="s">
        <v>218</v>
      </c>
      <c r="D41" s="13">
        <v>45218</v>
      </c>
      <c r="E41" s="14">
        <v>0.33333333333333331</v>
      </c>
      <c r="F41" s="12" t="s">
        <v>77</v>
      </c>
      <c r="G41" s="12" t="str">
        <f>_xlfn.XLOOKUP(entradas_hist[[#This Row],[ID]],total_leyenda[ID],total_leyenda[categoria])</f>
        <v>Parafinado</v>
      </c>
      <c r="H41" t="s">
        <v>226</v>
      </c>
      <c r="I41" s="19">
        <v>45317.6875</v>
      </c>
    </row>
    <row r="42" spans="1:9" x14ac:dyDescent="0.25">
      <c r="A42" s="10" t="s">
        <v>101</v>
      </c>
      <c r="B42" s="12">
        <v>24</v>
      </c>
      <c r="C42" s="12" t="s">
        <v>218</v>
      </c>
      <c r="D42" s="13">
        <v>45218</v>
      </c>
      <c r="E42" s="14">
        <v>0.33333333333333331</v>
      </c>
      <c r="F42" s="12" t="s">
        <v>102</v>
      </c>
      <c r="G42" s="12" t="str">
        <f>_xlfn.XLOOKUP(entradas_hist[[#This Row],[ID]],total_leyenda[ID],total_leyenda[categoria])</f>
        <v>Parafinado</v>
      </c>
      <c r="H42" t="s">
        <v>226</v>
      </c>
      <c r="I42" s="19">
        <v>45317.6875</v>
      </c>
    </row>
    <row r="43" spans="1:9" x14ac:dyDescent="0.25">
      <c r="A43" s="10" t="s">
        <v>107</v>
      </c>
      <c r="B43" s="12">
        <v>67</v>
      </c>
      <c r="C43" s="12" t="s">
        <v>218</v>
      </c>
      <c r="D43" s="13">
        <v>45218</v>
      </c>
      <c r="E43" s="14">
        <v>0.33333333333333331</v>
      </c>
      <c r="F43" s="12" t="s">
        <v>103</v>
      </c>
      <c r="G43" s="12" t="str">
        <f>_xlfn.XLOOKUP(entradas_hist[[#This Row],[ID]],total_leyenda[ID],total_leyenda[categoria])</f>
        <v>Parafinado</v>
      </c>
      <c r="H43" t="s">
        <v>226</v>
      </c>
      <c r="I43" s="19">
        <v>45317.6875</v>
      </c>
    </row>
    <row r="44" spans="1:9" x14ac:dyDescent="0.25">
      <c r="A44" s="10" t="s">
        <v>108</v>
      </c>
      <c r="B44" s="12">
        <v>73</v>
      </c>
      <c r="C44" s="12" t="s">
        <v>218</v>
      </c>
      <c r="D44" s="13">
        <v>45218</v>
      </c>
      <c r="E44" s="14">
        <v>0.33333333333333331</v>
      </c>
      <c r="F44" s="12" t="s">
        <v>104</v>
      </c>
      <c r="G44" s="12" t="str">
        <f>_xlfn.XLOOKUP(entradas_hist[[#This Row],[ID]],total_leyenda[ID],total_leyenda[categoria])</f>
        <v>Parafinado</v>
      </c>
      <c r="H44" t="s">
        <v>226</v>
      </c>
      <c r="I44" s="19">
        <v>45317.6875</v>
      </c>
    </row>
    <row r="45" spans="1:9" x14ac:dyDescent="0.25">
      <c r="A45" s="10" t="s">
        <v>109</v>
      </c>
      <c r="B45" s="12">
        <v>36</v>
      </c>
      <c r="C45" s="12" t="s">
        <v>218</v>
      </c>
      <c r="D45" s="13">
        <v>45218</v>
      </c>
      <c r="E45" s="14">
        <v>0.33333333333333331</v>
      </c>
      <c r="F45" s="12" t="s">
        <v>105</v>
      </c>
      <c r="G45" s="12" t="str">
        <f>_xlfn.XLOOKUP(entradas_hist[[#This Row],[ID]],total_leyenda[ID],total_leyenda[categoria])</f>
        <v>Parafinado</v>
      </c>
      <c r="H45" t="s">
        <v>226</v>
      </c>
      <c r="I45" s="19">
        <v>45317.6875</v>
      </c>
    </row>
    <row r="46" spans="1:9" x14ac:dyDescent="0.25">
      <c r="A46" s="10" t="s">
        <v>110</v>
      </c>
      <c r="B46" s="12">
        <v>20</v>
      </c>
      <c r="C46" s="12" t="s">
        <v>218</v>
      </c>
      <c r="D46" s="13">
        <v>45218</v>
      </c>
      <c r="E46" s="14">
        <v>0.33333333333333331</v>
      </c>
      <c r="F46" s="12" t="s">
        <v>106</v>
      </c>
      <c r="G46" s="12" t="str">
        <f>_xlfn.XLOOKUP(entradas_hist[[#This Row],[ID]],total_leyenda[ID],total_leyenda[categoria])</f>
        <v>Parafinado</v>
      </c>
      <c r="H46" t="s">
        <v>226</v>
      </c>
      <c r="I46" s="19">
        <v>45317.6875</v>
      </c>
    </row>
    <row r="47" spans="1:9" x14ac:dyDescent="0.25">
      <c r="A47" s="10" t="s">
        <v>114</v>
      </c>
      <c r="B47" s="12">
        <v>27</v>
      </c>
      <c r="C47" s="12" t="s">
        <v>218</v>
      </c>
      <c r="D47" s="13">
        <v>45218</v>
      </c>
      <c r="E47" s="14">
        <v>0.33333333333333331</v>
      </c>
      <c r="F47" s="12" t="s">
        <v>115</v>
      </c>
      <c r="G47" s="12" t="str">
        <f>_xlfn.XLOOKUP(entradas_hist[[#This Row],[ID]],total_leyenda[ID],total_leyenda[categoria])</f>
        <v>Papel Aluminio</v>
      </c>
      <c r="H47" t="s">
        <v>226</v>
      </c>
      <c r="I47" s="19">
        <v>45317.6875</v>
      </c>
    </row>
    <row r="48" spans="1:9" x14ac:dyDescent="0.25">
      <c r="A48" s="10" t="s">
        <v>119</v>
      </c>
      <c r="B48" s="12">
        <v>9</v>
      </c>
      <c r="C48" s="12" t="s">
        <v>218</v>
      </c>
      <c r="D48" s="13">
        <v>45218</v>
      </c>
      <c r="E48" s="14">
        <v>0.33333333333333331</v>
      </c>
      <c r="F48" s="12" t="s">
        <v>116</v>
      </c>
      <c r="G48" s="12" t="str">
        <f>_xlfn.XLOOKUP(entradas_hist[[#This Row],[ID]],total_leyenda[ID],total_leyenda[categoria])</f>
        <v>Papel Aluminio</v>
      </c>
      <c r="H48" t="s">
        <v>226</v>
      </c>
      <c r="I48" s="19">
        <v>45317.6875</v>
      </c>
    </row>
    <row r="49" spans="1:9" x14ac:dyDescent="0.25">
      <c r="A49" s="10" t="s">
        <v>120</v>
      </c>
      <c r="B49" s="12">
        <v>7</v>
      </c>
      <c r="C49" s="12" t="s">
        <v>218</v>
      </c>
      <c r="D49" s="13">
        <v>45218</v>
      </c>
      <c r="E49" s="14">
        <v>0.33333333333333331</v>
      </c>
      <c r="F49" s="12" t="s">
        <v>117</v>
      </c>
      <c r="G49" s="12" t="str">
        <f>_xlfn.XLOOKUP(entradas_hist[[#This Row],[ID]],total_leyenda[ID],total_leyenda[categoria])</f>
        <v>Papel Aluminio</v>
      </c>
      <c r="H49" t="s">
        <v>226</v>
      </c>
      <c r="I49" s="19">
        <v>45317.6875</v>
      </c>
    </row>
    <row r="50" spans="1:9" x14ac:dyDescent="0.25">
      <c r="A50" s="10" t="s">
        <v>121</v>
      </c>
      <c r="B50" s="12">
        <v>2</v>
      </c>
      <c r="C50" s="12" t="s">
        <v>218</v>
      </c>
      <c r="D50" s="13">
        <v>45218</v>
      </c>
      <c r="E50" s="14">
        <v>0.33333333333333331</v>
      </c>
      <c r="F50" s="12" t="s">
        <v>118</v>
      </c>
      <c r="G50" s="12" t="str">
        <f>_xlfn.XLOOKUP(entradas_hist[[#This Row],[ID]],total_leyenda[ID],total_leyenda[categoria])</f>
        <v>Papel Aluminio</v>
      </c>
      <c r="H50" t="s">
        <v>226</v>
      </c>
      <c r="I50" s="19">
        <v>45317.6875</v>
      </c>
    </row>
    <row r="51" spans="1:9" x14ac:dyDescent="0.25">
      <c r="A51" s="10" t="s">
        <v>124</v>
      </c>
      <c r="B51" s="12">
        <v>39</v>
      </c>
      <c r="C51" s="12" t="s">
        <v>218</v>
      </c>
      <c r="D51" s="13">
        <v>45218</v>
      </c>
      <c r="E51" s="14">
        <v>0.33333333333333331</v>
      </c>
      <c r="F51" s="12" t="s">
        <v>122</v>
      </c>
      <c r="G51" s="12" t="str">
        <f>_xlfn.XLOOKUP(entradas_hist[[#This Row],[ID]],total_leyenda[ID],total_leyenda[categoria])</f>
        <v>Mezclador</v>
      </c>
      <c r="H51" t="s">
        <v>226</v>
      </c>
      <c r="I51" s="19">
        <v>45317.6875</v>
      </c>
    </row>
    <row r="52" spans="1:9" x14ac:dyDescent="0.25">
      <c r="A52" s="10" t="s">
        <v>134</v>
      </c>
      <c r="B52" s="12">
        <v>1</v>
      </c>
      <c r="C52" s="12" t="s">
        <v>218</v>
      </c>
      <c r="D52" s="13">
        <v>45218</v>
      </c>
      <c r="E52" s="14">
        <v>0.33333333333333331</v>
      </c>
      <c r="F52" s="12" t="s">
        <v>128</v>
      </c>
      <c r="G52" s="12" t="str">
        <f>_xlfn.XLOOKUP(entradas_hist[[#This Row],[ID]],total_leyenda[ID],total_leyenda[categoria])</f>
        <v>Palillo Bamboo</v>
      </c>
      <c r="H52" t="s">
        <v>226</v>
      </c>
      <c r="I52" s="19">
        <v>45317.6875</v>
      </c>
    </row>
    <row r="53" spans="1:9" x14ac:dyDescent="0.25">
      <c r="A53" s="10" t="s">
        <v>135</v>
      </c>
      <c r="B53" s="12">
        <v>5</v>
      </c>
      <c r="C53" s="12" t="s">
        <v>218</v>
      </c>
      <c r="D53" s="13">
        <v>45218</v>
      </c>
      <c r="E53" s="14">
        <v>0.33333333333333331</v>
      </c>
      <c r="F53" s="12" t="s">
        <v>129</v>
      </c>
      <c r="G53" s="12" t="str">
        <f>_xlfn.XLOOKUP(entradas_hist[[#This Row],[ID]],total_leyenda[ID],total_leyenda[categoria])</f>
        <v>Palillo Bamboo</v>
      </c>
      <c r="H53" t="s">
        <v>226</v>
      </c>
      <c r="I53" s="19">
        <v>45317.6875</v>
      </c>
    </row>
    <row r="54" spans="1:9" x14ac:dyDescent="0.25">
      <c r="A54" s="10" t="s">
        <v>136</v>
      </c>
      <c r="B54" s="12">
        <v>30</v>
      </c>
      <c r="C54" s="12" t="s">
        <v>218</v>
      </c>
      <c r="D54" s="13">
        <v>45218</v>
      </c>
      <c r="E54" s="14">
        <v>0.33333333333333331</v>
      </c>
      <c r="F54" s="12" t="s">
        <v>130</v>
      </c>
      <c r="G54" s="12" t="str">
        <f>_xlfn.XLOOKUP(entradas_hist[[#This Row],[ID]],total_leyenda[ID],total_leyenda[categoria])</f>
        <v>Palillo Bamboo</v>
      </c>
      <c r="H54" t="s">
        <v>226</v>
      </c>
      <c r="I54" s="19">
        <v>45317.6875</v>
      </c>
    </row>
    <row r="55" spans="1:9" x14ac:dyDescent="0.25">
      <c r="A55" s="10" t="s">
        <v>137</v>
      </c>
      <c r="B55" s="12">
        <v>9</v>
      </c>
      <c r="C55" s="12" t="s">
        <v>218</v>
      </c>
      <c r="D55" s="13">
        <v>45218</v>
      </c>
      <c r="E55" s="14">
        <v>0.33333333333333331</v>
      </c>
      <c r="F55" s="12" t="s">
        <v>131</v>
      </c>
      <c r="G55" s="12" t="str">
        <f>_xlfn.XLOOKUP(entradas_hist[[#This Row],[ID]],total_leyenda[ID],total_leyenda[categoria])</f>
        <v>Palillo Bamboo</v>
      </c>
      <c r="H55" t="s">
        <v>226</v>
      </c>
      <c r="I55" s="19">
        <v>45317.6875</v>
      </c>
    </row>
    <row r="56" spans="1:9" x14ac:dyDescent="0.25">
      <c r="A56" s="10" t="s">
        <v>138</v>
      </c>
      <c r="B56" s="12">
        <v>4</v>
      </c>
      <c r="C56" s="12" t="s">
        <v>218</v>
      </c>
      <c r="D56" s="13">
        <v>45218</v>
      </c>
      <c r="E56" s="14">
        <v>0.33333333333333331</v>
      </c>
      <c r="F56" s="12" t="s">
        <v>142</v>
      </c>
      <c r="G56" s="12" t="str">
        <f>_xlfn.XLOOKUP(entradas_hist[[#This Row],[ID]],total_leyenda[ID],total_leyenda[categoria])</f>
        <v>VINIPEL</v>
      </c>
      <c r="H56" t="s">
        <v>226</v>
      </c>
      <c r="I56" s="19">
        <v>45317.6875</v>
      </c>
    </row>
    <row r="57" spans="1:9" x14ac:dyDescent="0.25">
      <c r="A57" s="10" t="s">
        <v>139</v>
      </c>
      <c r="B57" s="12">
        <v>5</v>
      </c>
      <c r="C57" s="12" t="s">
        <v>218</v>
      </c>
      <c r="D57" s="13">
        <v>45218</v>
      </c>
      <c r="E57" s="14">
        <v>0.33333333333333331</v>
      </c>
      <c r="F57" s="12" t="s">
        <v>143</v>
      </c>
      <c r="G57" s="12" t="str">
        <f>_xlfn.XLOOKUP(entradas_hist[[#This Row],[ID]],total_leyenda[ID],total_leyenda[categoria])</f>
        <v>VINIPEL</v>
      </c>
      <c r="H57" t="s">
        <v>226</v>
      </c>
      <c r="I57" s="19">
        <v>45317.6875</v>
      </c>
    </row>
    <row r="58" spans="1:9" x14ac:dyDescent="0.25">
      <c r="A58" s="10" t="s">
        <v>140</v>
      </c>
      <c r="B58" s="12">
        <v>13</v>
      </c>
      <c r="C58" s="12" t="s">
        <v>218</v>
      </c>
      <c r="D58" s="13">
        <v>45218</v>
      </c>
      <c r="E58" s="14">
        <v>0.33333333333333331</v>
      </c>
      <c r="F58" s="12" t="s">
        <v>144</v>
      </c>
      <c r="G58" s="12" t="str">
        <f>_xlfn.XLOOKUP(entradas_hist[[#This Row],[ID]],total_leyenda[ID],total_leyenda[categoria])</f>
        <v>VINIPEL</v>
      </c>
      <c r="H58" t="s">
        <v>226</v>
      </c>
      <c r="I58" s="19">
        <v>45317.6875</v>
      </c>
    </row>
    <row r="59" spans="1:9" x14ac:dyDescent="0.25">
      <c r="A59" s="10" t="s">
        <v>141</v>
      </c>
      <c r="B59" s="12">
        <v>2</v>
      </c>
      <c r="C59" s="12" t="s">
        <v>218</v>
      </c>
      <c r="D59" s="13">
        <v>45218</v>
      </c>
      <c r="E59" s="14">
        <v>0.33333333333333331</v>
      </c>
      <c r="F59" s="12" t="s">
        <v>145</v>
      </c>
      <c r="G59" s="12" t="str">
        <f>_xlfn.XLOOKUP(entradas_hist[[#This Row],[ID]],total_leyenda[ID],total_leyenda[categoria])</f>
        <v>VINIPEL</v>
      </c>
      <c r="H59" t="s">
        <v>226</v>
      </c>
      <c r="I59" s="19">
        <v>45317.6875</v>
      </c>
    </row>
    <row r="60" spans="1:9" x14ac:dyDescent="0.25">
      <c r="A60" s="10" t="s">
        <v>147</v>
      </c>
      <c r="B60" s="12">
        <v>0</v>
      </c>
      <c r="C60" s="12" t="s">
        <v>218</v>
      </c>
      <c r="D60" s="13">
        <v>45218</v>
      </c>
      <c r="E60" s="14">
        <v>0.33333333333333331</v>
      </c>
      <c r="F60" s="12" t="s">
        <v>146</v>
      </c>
      <c r="G60" s="12" t="str">
        <f>_xlfn.XLOOKUP(entradas_hist[[#This Row],[ID]],total_leyenda[ID],total_leyenda[categoria])</f>
        <v>VINIPEL</v>
      </c>
      <c r="H60" t="s">
        <v>226</v>
      </c>
      <c r="I60" s="19">
        <v>45317.6875</v>
      </c>
    </row>
    <row r="61" spans="1:9" x14ac:dyDescent="0.25">
      <c r="A61" s="10" t="s">
        <v>164</v>
      </c>
      <c r="B61" s="12">
        <v>67</v>
      </c>
      <c r="C61" s="12" t="s">
        <v>218</v>
      </c>
      <c r="D61" s="13">
        <v>45218</v>
      </c>
      <c r="E61" s="14">
        <v>0.33333333333333331</v>
      </c>
      <c r="F61" s="12" t="s">
        <v>165</v>
      </c>
      <c r="G61" s="12" t="str">
        <f>_xlfn.XLOOKUP(entradas_hist[[#This Row],[ID]],total_leyenda[ID],total_leyenda[categoria])</f>
        <v>VINIPEL</v>
      </c>
      <c r="H61" t="s">
        <v>226</v>
      </c>
      <c r="I61" s="19">
        <v>45317.6875</v>
      </c>
    </row>
    <row r="62" spans="1:9" x14ac:dyDescent="0.25">
      <c r="A62" s="10" t="s">
        <v>173</v>
      </c>
      <c r="B62" s="12">
        <v>0</v>
      </c>
      <c r="C62" s="12" t="s">
        <v>218</v>
      </c>
      <c r="D62" s="13">
        <v>45218</v>
      </c>
      <c r="E62" s="14">
        <v>0.33333333333333331</v>
      </c>
      <c r="F62" s="12" t="s">
        <v>166</v>
      </c>
      <c r="G62" s="12" t="str">
        <f>_xlfn.XLOOKUP(entradas_hist[[#This Row],[ID]],total_leyenda[ID],total_leyenda[categoria])</f>
        <v>VINIPEL</v>
      </c>
      <c r="H62" t="s">
        <v>226</v>
      </c>
      <c r="I62" s="19">
        <v>45317.6875</v>
      </c>
    </row>
    <row r="63" spans="1:9" x14ac:dyDescent="0.25">
      <c r="A63" s="10" t="s">
        <v>174</v>
      </c>
      <c r="B63" s="12">
        <v>0</v>
      </c>
      <c r="C63" s="12" t="s">
        <v>218</v>
      </c>
      <c r="D63" s="13">
        <v>45218</v>
      </c>
      <c r="E63" s="14">
        <v>0.33333333333333331</v>
      </c>
      <c r="F63" s="12" t="s">
        <v>167</v>
      </c>
      <c r="G63" s="12" t="str">
        <f>_xlfn.XLOOKUP(entradas_hist[[#This Row],[ID]],total_leyenda[ID],total_leyenda[categoria])</f>
        <v>VINIPEL</v>
      </c>
      <c r="H63" t="s">
        <v>226</v>
      </c>
      <c r="I63" s="19">
        <v>45317.6875</v>
      </c>
    </row>
    <row r="64" spans="1:9" x14ac:dyDescent="0.25">
      <c r="A64" s="10" t="s">
        <v>175</v>
      </c>
      <c r="B64" s="12">
        <v>0</v>
      </c>
      <c r="C64" s="12" t="s">
        <v>218</v>
      </c>
      <c r="D64" s="13">
        <v>45218</v>
      </c>
      <c r="E64" s="14">
        <v>0.33333333333333331</v>
      </c>
      <c r="F64" s="12" t="s">
        <v>168</v>
      </c>
      <c r="G64" s="12" t="str">
        <f>_xlfn.XLOOKUP(entradas_hist[[#This Row],[ID]],total_leyenda[ID],total_leyenda[categoria])</f>
        <v>VINIPEL</v>
      </c>
      <c r="H64" t="s">
        <v>226</v>
      </c>
      <c r="I64" s="19">
        <v>45317.6875</v>
      </c>
    </row>
    <row r="65" spans="1:9" x14ac:dyDescent="0.25">
      <c r="A65" s="10" t="s">
        <v>176</v>
      </c>
      <c r="B65" s="12">
        <v>61</v>
      </c>
      <c r="C65" s="12" t="s">
        <v>218</v>
      </c>
      <c r="D65" s="13">
        <v>45218</v>
      </c>
      <c r="E65" s="14">
        <v>0.33333333333333331</v>
      </c>
      <c r="F65" s="12" t="s">
        <v>169</v>
      </c>
      <c r="G65" s="12" t="str">
        <f>_xlfn.XLOOKUP(entradas_hist[[#This Row],[ID]],total_leyenda[ID],total_leyenda[categoria])</f>
        <v>VINIPEL</v>
      </c>
      <c r="H65" t="s">
        <v>226</v>
      </c>
      <c r="I65" s="19">
        <v>45317.6875</v>
      </c>
    </row>
    <row r="66" spans="1:9" x14ac:dyDescent="0.25">
      <c r="A66" s="10" t="s">
        <v>177</v>
      </c>
      <c r="B66" s="12">
        <v>0</v>
      </c>
      <c r="C66" s="12" t="s">
        <v>218</v>
      </c>
      <c r="D66" s="13">
        <v>45218</v>
      </c>
      <c r="E66" s="14">
        <v>0.33333333333333331</v>
      </c>
      <c r="F66" s="12" t="s">
        <v>170</v>
      </c>
      <c r="G66" s="12" t="str">
        <f>_xlfn.XLOOKUP(entradas_hist[[#This Row],[ID]],total_leyenda[ID],total_leyenda[categoria])</f>
        <v>VINIPEL</v>
      </c>
      <c r="H66" t="s">
        <v>226</v>
      </c>
      <c r="I66" s="19">
        <v>45317.6875</v>
      </c>
    </row>
    <row r="67" spans="1:9" x14ac:dyDescent="0.25">
      <c r="A67" s="10" t="s">
        <v>178</v>
      </c>
      <c r="B67" s="12">
        <v>23</v>
      </c>
      <c r="C67" s="12" t="s">
        <v>218</v>
      </c>
      <c r="D67" s="13">
        <v>45218</v>
      </c>
      <c r="E67" s="14">
        <v>0.33333333333333331</v>
      </c>
      <c r="F67" s="12" t="s">
        <v>171</v>
      </c>
      <c r="G67" s="12" t="str">
        <f>_xlfn.XLOOKUP(entradas_hist[[#This Row],[ID]],total_leyenda[ID],total_leyenda[categoria])</f>
        <v>VINIPEL</v>
      </c>
      <c r="H67" t="s">
        <v>226</v>
      </c>
      <c r="I67" s="19">
        <v>45317.6875</v>
      </c>
    </row>
    <row r="68" spans="1:9" x14ac:dyDescent="0.25">
      <c r="A68" s="10" t="s">
        <v>179</v>
      </c>
      <c r="B68" s="12">
        <v>32</v>
      </c>
      <c r="C68" s="12" t="s">
        <v>218</v>
      </c>
      <c r="D68" s="13">
        <v>45218</v>
      </c>
      <c r="E68" s="14">
        <v>0.33333333333333331</v>
      </c>
      <c r="F68" s="12" t="s">
        <v>172</v>
      </c>
      <c r="G68" s="12" t="str">
        <f>_xlfn.XLOOKUP(entradas_hist[[#This Row],[ID]],total_leyenda[ID],total_leyenda[categoria])</f>
        <v>VINIPEL</v>
      </c>
      <c r="H68" t="s">
        <v>226</v>
      </c>
      <c r="I68" s="19">
        <v>45317.6875</v>
      </c>
    </row>
    <row r="69" spans="1:9" x14ac:dyDescent="0.25">
      <c r="A69" s="10" t="s">
        <v>151</v>
      </c>
      <c r="B69" s="12">
        <v>53</v>
      </c>
      <c r="C69" s="12" t="s">
        <v>218</v>
      </c>
      <c r="D69" s="13">
        <v>45218</v>
      </c>
      <c r="E69" s="14">
        <v>0.33333333333333331</v>
      </c>
      <c r="F69" s="12" t="s">
        <v>150</v>
      </c>
      <c r="G69" s="12" t="str">
        <f>_xlfn.XLOOKUP(entradas_hist[[#This Row],[ID]],total_leyenda[ID],total_leyenda[categoria])</f>
        <v>Bolsillo Aluminio</v>
      </c>
      <c r="H69" t="s">
        <v>226</v>
      </c>
      <c r="I69" s="19">
        <v>45317.6875</v>
      </c>
    </row>
    <row r="70" spans="1:9" x14ac:dyDescent="0.25">
      <c r="A70" s="10" t="s">
        <v>156</v>
      </c>
      <c r="B70" s="12">
        <v>4</v>
      </c>
      <c r="C70" s="12" t="s">
        <v>218</v>
      </c>
      <c r="D70" s="13">
        <v>45218</v>
      </c>
      <c r="E70" s="14">
        <v>0.33333333333333331</v>
      </c>
      <c r="F70" s="12" t="s">
        <v>152</v>
      </c>
      <c r="G70" s="12" t="str">
        <f>_xlfn.XLOOKUP(entradas_hist[[#This Row],[ID]],total_leyenda[ID],total_leyenda[categoria])</f>
        <v>Bolsillo Aluminio</v>
      </c>
      <c r="H70" t="s">
        <v>226</v>
      </c>
      <c r="I70" s="19">
        <v>45317.6875</v>
      </c>
    </row>
    <row r="71" spans="1:9" x14ac:dyDescent="0.25">
      <c r="A71" s="10" t="s">
        <v>157</v>
      </c>
      <c r="B71" s="12">
        <v>49</v>
      </c>
      <c r="C71" s="12" t="s">
        <v>218</v>
      </c>
      <c r="D71" s="13">
        <v>45218</v>
      </c>
      <c r="E71" s="14">
        <v>0.33333333333333331</v>
      </c>
      <c r="F71" s="12" t="s">
        <v>153</v>
      </c>
      <c r="G71" s="12" t="str">
        <f>_xlfn.XLOOKUP(entradas_hist[[#This Row],[ID]],total_leyenda[ID],total_leyenda[categoria])</f>
        <v>Bolsillo Aluminio</v>
      </c>
      <c r="H71" t="s">
        <v>226</v>
      </c>
      <c r="I71" s="19">
        <v>45317.6875</v>
      </c>
    </row>
    <row r="72" spans="1:9" x14ac:dyDescent="0.25">
      <c r="A72" s="10" t="s">
        <v>158</v>
      </c>
      <c r="B72" s="12">
        <v>3</v>
      </c>
      <c r="C72" s="12" t="s">
        <v>218</v>
      </c>
      <c r="D72" s="13">
        <v>45218</v>
      </c>
      <c r="E72" s="14">
        <v>0.33333333333333331</v>
      </c>
      <c r="F72" s="12" t="s">
        <v>154</v>
      </c>
      <c r="G72" s="12" t="str">
        <f>_xlfn.XLOOKUP(entradas_hist[[#This Row],[ID]],total_leyenda[ID],total_leyenda[categoria])</f>
        <v>Bolsillo Aluminio</v>
      </c>
      <c r="H72" t="s">
        <v>226</v>
      </c>
      <c r="I72" s="19">
        <v>45317.6875</v>
      </c>
    </row>
    <row r="73" spans="1:9" x14ac:dyDescent="0.25">
      <c r="A73" s="10" t="s">
        <v>159</v>
      </c>
      <c r="B73" s="12">
        <v>36</v>
      </c>
      <c r="C73" s="12" t="s">
        <v>218</v>
      </c>
      <c r="D73" s="13">
        <v>45218</v>
      </c>
      <c r="E73" s="14">
        <v>0.33333333333333331</v>
      </c>
      <c r="F73" s="12" t="s">
        <v>155</v>
      </c>
      <c r="G73" s="12" t="str">
        <f>_xlfn.XLOOKUP(entradas_hist[[#This Row],[ID]],total_leyenda[ID],total_leyenda[categoria])</f>
        <v>Bolsillo Aluminio</v>
      </c>
      <c r="H73" t="s">
        <v>226</v>
      </c>
      <c r="I73" s="19">
        <v>45317.6875</v>
      </c>
    </row>
    <row r="74" spans="1:9" x14ac:dyDescent="0.25">
      <c r="A74" s="10" t="s">
        <v>190</v>
      </c>
      <c r="B74" s="12">
        <v>69</v>
      </c>
      <c r="C74" s="12" t="s">
        <v>218</v>
      </c>
      <c r="D74" s="13">
        <v>45218</v>
      </c>
      <c r="E74" s="14">
        <v>0.33333333333333331</v>
      </c>
      <c r="F74" s="12" t="s">
        <v>191</v>
      </c>
      <c r="G74" s="12" t="str">
        <f>_xlfn.XLOOKUP(entradas_hist[[#This Row],[ID]],total_leyenda[ID],total_leyenda[categoria])</f>
        <v>Bolsa Polipropileno</v>
      </c>
      <c r="H74" t="s">
        <v>226</v>
      </c>
      <c r="I74" s="19">
        <v>45317.6875</v>
      </c>
    </row>
    <row r="75" spans="1:9" x14ac:dyDescent="0.25">
      <c r="A75" s="10" t="s">
        <v>203</v>
      </c>
      <c r="B75" s="12">
        <v>67</v>
      </c>
      <c r="C75" s="12" t="s">
        <v>218</v>
      </c>
      <c r="D75" s="13">
        <v>45218</v>
      </c>
      <c r="E75" s="14">
        <v>0.33333333333333331</v>
      </c>
      <c r="F75" s="12" t="s">
        <v>192</v>
      </c>
      <c r="G75" s="12" t="str">
        <f>_xlfn.XLOOKUP(entradas_hist[[#This Row],[ID]],total_leyenda[ID],total_leyenda[categoria])</f>
        <v>Bolsa Polipropileno</v>
      </c>
      <c r="H75" t="s">
        <v>226</v>
      </c>
      <c r="I75" s="19">
        <v>45317.6875</v>
      </c>
    </row>
    <row r="76" spans="1:9" x14ac:dyDescent="0.25">
      <c r="A76" s="10" t="s">
        <v>204</v>
      </c>
      <c r="B76" s="12">
        <v>4</v>
      </c>
      <c r="C76" s="12" t="s">
        <v>218</v>
      </c>
      <c r="D76" s="13">
        <v>45218</v>
      </c>
      <c r="E76" s="14">
        <v>0.33333333333333331</v>
      </c>
      <c r="F76" s="12" t="s">
        <v>193</v>
      </c>
      <c r="G76" s="12" t="str">
        <f>_xlfn.XLOOKUP(entradas_hist[[#This Row],[ID]],total_leyenda[ID],total_leyenda[categoria])</f>
        <v>Bolsa Polipropileno</v>
      </c>
      <c r="H76" t="s">
        <v>226</v>
      </c>
      <c r="I76" s="19">
        <v>45317.6875</v>
      </c>
    </row>
    <row r="77" spans="1:9" x14ac:dyDescent="0.25">
      <c r="A77" s="10" t="s">
        <v>205</v>
      </c>
      <c r="B77" s="12">
        <v>10</v>
      </c>
      <c r="C77" s="12" t="s">
        <v>218</v>
      </c>
      <c r="D77" s="13">
        <v>45218</v>
      </c>
      <c r="E77" s="14">
        <v>0.33333333333333331</v>
      </c>
      <c r="F77" s="12" t="s">
        <v>194</v>
      </c>
      <c r="G77" s="12" t="str">
        <f>_xlfn.XLOOKUP(entradas_hist[[#This Row],[ID]],total_leyenda[ID],total_leyenda[categoria])</f>
        <v>Bolsa Polipropileno</v>
      </c>
      <c r="H77" t="s">
        <v>226</v>
      </c>
      <c r="I77" s="19">
        <v>45317.6875</v>
      </c>
    </row>
    <row r="78" spans="1:9" x14ac:dyDescent="0.25">
      <c r="A78" s="10" t="s">
        <v>206</v>
      </c>
      <c r="B78" s="12">
        <v>15</v>
      </c>
      <c r="C78" s="12" t="s">
        <v>218</v>
      </c>
      <c r="D78" s="13">
        <v>45218</v>
      </c>
      <c r="E78" s="14">
        <v>0.33333333333333331</v>
      </c>
      <c r="F78" s="12" t="s">
        <v>195</v>
      </c>
      <c r="G78" s="12" t="str">
        <f>_xlfn.XLOOKUP(entradas_hist[[#This Row],[ID]],total_leyenda[ID],total_leyenda[categoria])</f>
        <v>Bolsa Polipropileno</v>
      </c>
      <c r="H78" t="s">
        <v>226</v>
      </c>
      <c r="I78" s="19">
        <v>45317.6875</v>
      </c>
    </row>
    <row r="79" spans="1:9" x14ac:dyDescent="0.25">
      <c r="A79" s="10" t="s">
        <v>207</v>
      </c>
      <c r="B79" s="12">
        <v>5</v>
      </c>
      <c r="C79" s="12" t="s">
        <v>218</v>
      </c>
      <c r="D79" s="13">
        <v>45218</v>
      </c>
      <c r="E79" s="14">
        <v>0.33333333333333331</v>
      </c>
      <c r="F79" s="12" t="s">
        <v>196</v>
      </c>
      <c r="G79" s="12" t="str">
        <f>_xlfn.XLOOKUP(entradas_hist[[#This Row],[ID]],total_leyenda[ID],total_leyenda[categoria])</f>
        <v>Bolsa Polipropileno</v>
      </c>
      <c r="H79" t="s">
        <v>226</v>
      </c>
      <c r="I79" s="19">
        <v>45317.6875</v>
      </c>
    </row>
    <row r="80" spans="1:9" x14ac:dyDescent="0.25">
      <c r="A80" s="10" t="s">
        <v>208</v>
      </c>
      <c r="B80" s="12">
        <v>4</v>
      </c>
      <c r="C80" s="12" t="s">
        <v>218</v>
      </c>
      <c r="D80" s="13">
        <v>45218</v>
      </c>
      <c r="E80" s="14">
        <v>0.33333333333333331</v>
      </c>
      <c r="F80" s="12" t="s">
        <v>197</v>
      </c>
      <c r="G80" s="12" t="str">
        <f>_xlfn.XLOOKUP(entradas_hist[[#This Row],[ID]],total_leyenda[ID],total_leyenda[categoria])</f>
        <v>Bolsa Polipropileno</v>
      </c>
      <c r="H80" t="s">
        <v>226</v>
      </c>
      <c r="I80" s="19">
        <v>45317.6875</v>
      </c>
    </row>
    <row r="81" spans="1:9" x14ac:dyDescent="0.25">
      <c r="A81" s="10" t="s">
        <v>209</v>
      </c>
      <c r="B81" s="12">
        <v>0</v>
      </c>
      <c r="C81" s="12" t="s">
        <v>218</v>
      </c>
      <c r="D81" s="13">
        <v>45218</v>
      </c>
      <c r="E81" s="14">
        <v>0.33333333333333331</v>
      </c>
      <c r="F81" s="12" t="s">
        <v>198</v>
      </c>
      <c r="G81" s="12" t="str">
        <f>_xlfn.XLOOKUP(entradas_hist[[#This Row],[ID]],total_leyenda[ID],total_leyenda[categoria])</f>
        <v>Bolsa Polipropileno</v>
      </c>
      <c r="H81" t="s">
        <v>226</v>
      </c>
      <c r="I81" s="19">
        <v>45317.6875</v>
      </c>
    </row>
    <row r="82" spans="1:9" x14ac:dyDescent="0.25">
      <c r="A82" s="10" t="s">
        <v>210</v>
      </c>
      <c r="B82" s="12">
        <v>10</v>
      </c>
      <c r="C82" s="12" t="s">
        <v>218</v>
      </c>
      <c r="D82" s="13">
        <v>45218</v>
      </c>
      <c r="E82" s="14">
        <v>0.33333333333333331</v>
      </c>
      <c r="F82" s="12" t="s">
        <v>199</v>
      </c>
      <c r="G82" s="12" t="str">
        <f>_xlfn.XLOOKUP(entradas_hist[[#This Row],[ID]],total_leyenda[ID],total_leyenda[categoria])</f>
        <v>Bolsa Polipropileno</v>
      </c>
      <c r="H82" t="s">
        <v>226</v>
      </c>
      <c r="I82" s="19">
        <v>45317.6875</v>
      </c>
    </row>
    <row r="83" spans="1:9" x14ac:dyDescent="0.25">
      <c r="A83" s="10" t="s">
        <v>211</v>
      </c>
      <c r="B83" s="12">
        <v>0</v>
      </c>
      <c r="C83" s="12" t="s">
        <v>218</v>
      </c>
      <c r="D83" s="13">
        <v>45218</v>
      </c>
      <c r="E83" s="14">
        <v>0.33333333333333331</v>
      </c>
      <c r="F83" s="12" t="s">
        <v>200</v>
      </c>
      <c r="G83" s="12" t="str">
        <f>_xlfn.XLOOKUP(entradas_hist[[#This Row],[ID]],total_leyenda[ID],total_leyenda[categoria])</f>
        <v>Bolsa Polipropileno</v>
      </c>
      <c r="H83" t="s">
        <v>226</v>
      </c>
      <c r="I83" s="19">
        <v>45317.6875</v>
      </c>
    </row>
    <row r="84" spans="1:9" x14ac:dyDescent="0.25">
      <c r="A84" s="10" t="s">
        <v>212</v>
      </c>
      <c r="B84" s="12">
        <v>0</v>
      </c>
      <c r="C84" s="12" t="s">
        <v>218</v>
      </c>
      <c r="D84" s="13">
        <v>45218</v>
      </c>
      <c r="E84" s="14">
        <v>0.33333333333333331</v>
      </c>
      <c r="F84" s="12" t="s">
        <v>201</v>
      </c>
      <c r="G84" s="12" t="str">
        <f>_xlfn.XLOOKUP(entradas_hist[[#This Row],[ID]],total_leyenda[ID],total_leyenda[categoria])</f>
        <v>Bolsa Polipropileno</v>
      </c>
      <c r="H84" t="s">
        <v>226</v>
      </c>
      <c r="I84" s="19">
        <v>45317.6875</v>
      </c>
    </row>
    <row r="85" spans="1:9" x14ac:dyDescent="0.25">
      <c r="A85" s="10" t="s">
        <v>213</v>
      </c>
      <c r="B85" s="12">
        <v>0</v>
      </c>
      <c r="C85" s="12" t="s">
        <v>218</v>
      </c>
      <c r="D85" s="13">
        <v>45218</v>
      </c>
      <c r="E85" s="14">
        <v>0.33333333333333331</v>
      </c>
      <c r="F85" s="12" t="s">
        <v>202</v>
      </c>
      <c r="G85" s="12" t="str">
        <f>_xlfn.XLOOKUP(entradas_hist[[#This Row],[ID]],total_leyenda[ID],total_leyenda[categoria])</f>
        <v>Bolsa Polipropileno</v>
      </c>
      <c r="H85" t="s">
        <v>226</v>
      </c>
      <c r="I85" s="19">
        <v>45317.6875</v>
      </c>
    </row>
    <row r="86" spans="1:9" x14ac:dyDescent="0.25">
      <c r="A86" s="10" t="s">
        <v>184</v>
      </c>
      <c r="B86" s="12">
        <v>28</v>
      </c>
      <c r="C86" s="12" t="s">
        <v>218</v>
      </c>
      <c r="D86" s="13">
        <v>45218</v>
      </c>
      <c r="E86" s="14">
        <v>0.33333333333333331</v>
      </c>
      <c r="F86" s="12" t="s">
        <v>180</v>
      </c>
      <c r="G86" s="12" t="str">
        <f>_xlfn.XLOOKUP(entradas_hist[[#This Row],[ID]],total_leyenda[ID],total_leyenda[categoria])</f>
        <v>PORTA</v>
      </c>
      <c r="H86" t="s">
        <v>226</v>
      </c>
      <c r="I86" s="19">
        <v>45317.6875</v>
      </c>
    </row>
    <row r="87" spans="1:9" x14ac:dyDescent="0.25">
      <c r="A87" s="10" t="s">
        <v>220</v>
      </c>
      <c r="B87" s="12">
        <v>0</v>
      </c>
      <c r="C87" s="12" t="s">
        <v>218</v>
      </c>
      <c r="D87" s="13">
        <v>45218</v>
      </c>
      <c r="E87" s="14">
        <v>0.33333333333333331</v>
      </c>
      <c r="F87" s="12" t="s">
        <v>185</v>
      </c>
      <c r="G87" s="12" t="str">
        <f>_xlfn.XLOOKUP(entradas_hist[[#This Row],[ID]],total_leyenda[ID],total_leyenda[categoria])</f>
        <v>PORTA</v>
      </c>
      <c r="H87" t="s">
        <v>226</v>
      </c>
      <c r="I87" s="19">
        <v>45317.6875</v>
      </c>
    </row>
    <row r="88" spans="1:9" x14ac:dyDescent="0.25">
      <c r="A88" s="10" t="s">
        <v>221</v>
      </c>
      <c r="B88" s="12">
        <v>13</v>
      </c>
      <c r="C88" s="12" t="s">
        <v>218</v>
      </c>
      <c r="D88" s="13">
        <v>45218</v>
      </c>
      <c r="E88" s="14">
        <v>0.33333333333333331</v>
      </c>
      <c r="F88" s="12" t="s">
        <v>186</v>
      </c>
      <c r="G88" s="12" t="str">
        <f>_xlfn.XLOOKUP(entradas_hist[[#This Row],[ID]],total_leyenda[ID],total_leyenda[categoria])</f>
        <v>PORTA</v>
      </c>
      <c r="H88" t="s">
        <v>226</v>
      </c>
      <c r="I88" s="19">
        <v>45317.6875</v>
      </c>
    </row>
    <row r="89" spans="1:9" x14ac:dyDescent="0.25">
      <c r="A89" s="10" t="s">
        <v>222</v>
      </c>
      <c r="B89" s="12">
        <v>39</v>
      </c>
      <c r="C89" s="12" t="s">
        <v>218</v>
      </c>
      <c r="D89" s="13">
        <v>45218</v>
      </c>
      <c r="E89" s="14">
        <v>0.33333333333333331</v>
      </c>
      <c r="F89" s="12" t="s">
        <v>187</v>
      </c>
      <c r="G89" s="12" t="str">
        <f>_xlfn.XLOOKUP(entradas_hist[[#This Row],[ID]],total_leyenda[ID],total_leyenda[categoria])</f>
        <v>PORTA</v>
      </c>
      <c r="H89" t="s">
        <v>226</v>
      </c>
      <c r="I89" s="19">
        <v>45317.6875</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S24"/>
  <sheetViews>
    <sheetView zoomScaleNormal="100" workbookViewId="0"/>
  </sheetViews>
  <sheetFormatPr defaultRowHeight="15" x14ac:dyDescent="0.25"/>
  <cols>
    <col min="1" max="1" width="14.42578125" bestFit="1" customWidth="1"/>
    <col min="2" max="2" width="10.7109375" bestFit="1" customWidth="1"/>
    <col min="3" max="3" width="8.85546875" bestFit="1" customWidth="1"/>
    <col min="4" max="4" width="13.28515625" bestFit="1" customWidth="1"/>
    <col min="5" max="5" width="16.28515625" bestFit="1" customWidth="1"/>
    <col min="6" max="6" width="32" bestFit="1" customWidth="1"/>
    <col min="7" max="8" width="20.28515625" customWidth="1"/>
    <col min="9" max="10" width="31.85546875" customWidth="1"/>
    <col min="11" max="11" width="13.85546875" bestFit="1" customWidth="1"/>
    <col min="12" max="12" width="19.28515625" bestFit="1" customWidth="1"/>
    <col min="13" max="13" width="32.7109375" customWidth="1"/>
    <col min="15" max="15" width="19.28515625" style="17" bestFit="1" customWidth="1"/>
  </cols>
  <sheetData>
    <row r="1" spans="1:19" x14ac:dyDescent="0.25">
      <c r="A1" t="s">
        <v>391</v>
      </c>
      <c r="B1" s="8" t="s">
        <v>392</v>
      </c>
      <c r="C1" s="9" t="s">
        <v>393</v>
      </c>
      <c r="D1" s="29" t="s">
        <v>394</v>
      </c>
      <c r="E1" t="s">
        <v>395</v>
      </c>
      <c r="F1" s="7" t="s">
        <v>1</v>
      </c>
      <c r="G1" t="s">
        <v>2</v>
      </c>
      <c r="H1" t="s">
        <v>416</v>
      </c>
      <c r="I1" t="s">
        <v>3</v>
      </c>
      <c r="J1" t="s">
        <v>390</v>
      </c>
      <c r="K1" t="s">
        <v>223</v>
      </c>
      <c r="L1" s="17" t="s">
        <v>225</v>
      </c>
      <c r="M1" s="26" t="s">
        <v>371</v>
      </c>
      <c r="O1">
        <f ca="1">OFFSET(A1,COUNTA(salidas_hist[FACTURA_ID]),0,1,1) + 1</f>
        <v>14</v>
      </c>
    </row>
    <row r="2" spans="1:19" x14ac:dyDescent="0.25">
      <c r="A2" s="1" t="s">
        <v>383</v>
      </c>
      <c r="B2" s="3">
        <v>45219</v>
      </c>
      <c r="C2" s="5">
        <v>0.33333333333333331</v>
      </c>
      <c r="D2" s="5"/>
      <c r="E2" s="1" t="s">
        <v>9</v>
      </c>
      <c r="F2" t="s">
        <v>7</v>
      </c>
      <c r="G2">
        <v>3</v>
      </c>
      <c r="H2">
        <v>284.51</v>
      </c>
      <c r="I2" t="s">
        <v>224</v>
      </c>
      <c r="J2">
        <v>853.53</v>
      </c>
      <c r="K2" t="s">
        <v>227</v>
      </c>
      <c r="L2" s="20">
        <v>45317.693055555559</v>
      </c>
      <c r="M2" t="str">
        <f>_xlfn.XLOOKUP(salidas_hist[[#This Row],[PRODUCTO_ID]],total_leyenda[ID],total_leyenda[categoria])</f>
        <v>Parafinado</v>
      </c>
      <c r="O2"/>
    </row>
    <row r="3" spans="1:19" x14ac:dyDescent="0.25">
      <c r="A3" s="1" t="s">
        <v>384</v>
      </c>
      <c r="B3" s="3">
        <v>45224</v>
      </c>
      <c r="C3" s="5">
        <v>0.33333333333333331</v>
      </c>
      <c r="D3" s="5"/>
      <c r="E3" s="1" t="s">
        <v>9</v>
      </c>
      <c r="F3" t="s">
        <v>7</v>
      </c>
      <c r="G3">
        <v>2</v>
      </c>
      <c r="H3">
        <v>1019.05</v>
      </c>
      <c r="I3" t="s">
        <v>224</v>
      </c>
      <c r="J3">
        <v>2038.1</v>
      </c>
      <c r="K3" t="s">
        <v>227</v>
      </c>
      <c r="L3" s="20">
        <v>45317.693055555559</v>
      </c>
      <c r="M3" t="str">
        <f>_xlfn.XLOOKUP(salidas_hist[[#This Row],[PRODUCTO_ID]],total_leyenda[ID],total_leyenda[categoria])</f>
        <v>Parafinado</v>
      </c>
      <c r="O3"/>
    </row>
    <row r="4" spans="1:19" x14ac:dyDescent="0.25">
      <c r="A4" s="1" t="s">
        <v>385</v>
      </c>
      <c r="B4" s="3">
        <v>45224</v>
      </c>
      <c r="C4" s="5">
        <v>0.33333333333333331</v>
      </c>
      <c r="D4" s="5"/>
      <c r="E4" s="1" t="s">
        <v>9</v>
      </c>
      <c r="F4" t="s">
        <v>7</v>
      </c>
      <c r="G4">
        <v>60</v>
      </c>
      <c r="H4">
        <v>325.97000000000003</v>
      </c>
      <c r="I4" t="s">
        <v>224</v>
      </c>
      <c r="J4">
        <v>19558.2</v>
      </c>
      <c r="K4" t="s">
        <v>227</v>
      </c>
      <c r="L4" s="20">
        <v>45317.693055555559</v>
      </c>
      <c r="M4" t="str">
        <f>_xlfn.XLOOKUP(salidas_hist[[#This Row],[PRODUCTO_ID]],total_leyenda[ID],total_leyenda[categoria])</f>
        <v>Parafinado</v>
      </c>
      <c r="O4"/>
    </row>
    <row r="5" spans="1:19" x14ac:dyDescent="0.25">
      <c r="A5" s="1" t="s">
        <v>386</v>
      </c>
      <c r="B5" s="3">
        <v>45255</v>
      </c>
      <c r="C5" s="5">
        <v>0.33333333333333331</v>
      </c>
      <c r="D5" s="5"/>
      <c r="E5" s="1" t="s">
        <v>9</v>
      </c>
      <c r="F5" t="s">
        <v>7</v>
      </c>
      <c r="G5">
        <v>5</v>
      </c>
      <c r="H5">
        <v>544.63</v>
      </c>
      <c r="I5" t="s">
        <v>224</v>
      </c>
      <c r="J5">
        <v>2723.15</v>
      </c>
      <c r="K5" t="s">
        <v>227</v>
      </c>
      <c r="L5" s="20">
        <v>45317.693055555559</v>
      </c>
      <c r="M5" t="str">
        <f>_xlfn.XLOOKUP(salidas_hist[[#This Row],[PRODUCTO_ID]],total_leyenda[ID],total_leyenda[categoria])</f>
        <v>Parafinado</v>
      </c>
      <c r="O5"/>
    </row>
    <row r="6" spans="1:19" x14ac:dyDescent="0.25">
      <c r="A6" s="1" t="s">
        <v>387</v>
      </c>
      <c r="B6" s="3">
        <v>45302</v>
      </c>
      <c r="C6" s="5">
        <v>0.33333333333333331</v>
      </c>
      <c r="D6" s="5"/>
      <c r="E6" s="1" t="s">
        <v>9</v>
      </c>
      <c r="F6" t="s">
        <v>7</v>
      </c>
      <c r="G6">
        <v>5</v>
      </c>
      <c r="H6">
        <v>676.68</v>
      </c>
      <c r="I6" t="s">
        <v>224</v>
      </c>
      <c r="J6">
        <v>3383.4</v>
      </c>
      <c r="K6" t="s">
        <v>227</v>
      </c>
      <c r="L6" s="20">
        <v>45317.693055555559</v>
      </c>
      <c r="M6" t="str">
        <f>_xlfn.XLOOKUP(salidas_hist[[#This Row],[PRODUCTO_ID]],total_leyenda[ID],total_leyenda[categoria])</f>
        <v>Parafinado</v>
      </c>
      <c r="O6"/>
    </row>
    <row r="7" spans="1:19" hidden="1" x14ac:dyDescent="0.25">
      <c r="A7" s="1" t="s">
        <v>388</v>
      </c>
      <c r="B7" s="3">
        <v>45255</v>
      </c>
      <c r="C7" s="5">
        <v>0.33333333333333331</v>
      </c>
      <c r="D7" s="5"/>
      <c r="E7" s="1" t="s">
        <v>11</v>
      </c>
      <c r="F7" t="s">
        <v>7</v>
      </c>
      <c r="G7">
        <v>20</v>
      </c>
      <c r="H7">
        <v>1003.57</v>
      </c>
      <c r="I7" t="s">
        <v>224</v>
      </c>
      <c r="J7">
        <v>20071.400000000001</v>
      </c>
      <c r="K7" t="s">
        <v>227</v>
      </c>
      <c r="L7" s="20">
        <v>45317.698611111111</v>
      </c>
      <c r="M7" t="str">
        <f>_xlfn.XLOOKUP(salidas_hist[[#This Row],[PRODUCTO_ID]],total_leyenda[ID],total_leyenda[categoria])</f>
        <v>Parafinado</v>
      </c>
      <c r="O7"/>
    </row>
    <row r="8" spans="1:19" hidden="1" x14ac:dyDescent="0.25">
      <c r="A8" s="1" t="s">
        <v>389</v>
      </c>
      <c r="B8" s="3">
        <v>45302</v>
      </c>
      <c r="C8" s="5">
        <v>0.33333333333333331</v>
      </c>
      <c r="D8" s="5"/>
      <c r="E8" s="1" t="s">
        <v>11</v>
      </c>
      <c r="F8" t="s">
        <v>10</v>
      </c>
      <c r="G8">
        <v>3</v>
      </c>
      <c r="H8">
        <v>284.51</v>
      </c>
      <c r="I8" t="s">
        <v>224</v>
      </c>
      <c r="J8">
        <v>853.53</v>
      </c>
      <c r="K8" t="s">
        <v>227</v>
      </c>
      <c r="L8" s="20">
        <v>45317.698611111111</v>
      </c>
      <c r="M8" t="str">
        <f>_xlfn.XLOOKUP(salidas_hist[[#This Row],[PRODUCTO_ID]],total_leyenda[ID],total_leyenda[categoria])</f>
        <v>Parafinado</v>
      </c>
      <c r="O8"/>
    </row>
    <row r="9" spans="1:19" hidden="1" x14ac:dyDescent="0.25">
      <c r="A9" s="1">
        <v>8</v>
      </c>
      <c r="B9" s="3">
        <v>45329</v>
      </c>
      <c r="C9" s="5">
        <v>0.50319444444444439</v>
      </c>
      <c r="D9" s="5" t="s">
        <v>396</v>
      </c>
      <c r="E9" s="1" t="s">
        <v>18</v>
      </c>
      <c r="F9" s="1" t="s">
        <v>22</v>
      </c>
      <c r="G9">
        <v>2</v>
      </c>
      <c r="H9">
        <v>1019.05</v>
      </c>
      <c r="I9" t="s">
        <v>224</v>
      </c>
      <c r="J9">
        <v>2038.1</v>
      </c>
      <c r="K9" t="s">
        <v>227</v>
      </c>
      <c r="L9" s="20">
        <v>45329.503194444442</v>
      </c>
      <c r="M9" t="str">
        <f>_xlfn.XLOOKUP(salidas_hist[[#This Row],[PRODUCTO_ID]],total_leyenda[ID],total_leyenda[categoria])</f>
        <v>Parafinado</v>
      </c>
    </row>
    <row r="10" spans="1:19" hidden="1" x14ac:dyDescent="0.25">
      <c r="A10" s="1">
        <v>9</v>
      </c>
      <c r="B10" s="3">
        <v>45329</v>
      </c>
      <c r="C10" s="5">
        <v>0.50603009259259257</v>
      </c>
      <c r="D10" s="5" t="s">
        <v>396</v>
      </c>
      <c r="E10" s="1" t="s">
        <v>18</v>
      </c>
      <c r="F10" s="1" t="s">
        <v>22</v>
      </c>
      <c r="G10">
        <v>60</v>
      </c>
      <c r="H10">
        <v>325.97000000000003</v>
      </c>
      <c r="I10" t="s">
        <v>224</v>
      </c>
      <c r="J10">
        <v>19558.2</v>
      </c>
      <c r="K10" t="s">
        <v>227</v>
      </c>
      <c r="L10" s="20">
        <v>45329.506030092591</v>
      </c>
      <c r="M10" t="str">
        <f>_xlfn.XLOOKUP(salidas_hist[[#This Row],[PRODUCTO_ID]],total_leyenda[ID],total_leyenda[categoria])</f>
        <v>Parafinado</v>
      </c>
    </row>
    <row r="11" spans="1:19" x14ac:dyDescent="0.25">
      <c r="A11" s="1">
        <v>10</v>
      </c>
      <c r="B11" s="3">
        <v>45357</v>
      </c>
      <c r="C11" s="5">
        <v>0.65482638888888889</v>
      </c>
      <c r="D11" s="5" t="s">
        <v>396</v>
      </c>
      <c r="E11" s="1" t="s">
        <v>9</v>
      </c>
      <c r="F11" s="1" t="s">
        <v>7</v>
      </c>
      <c r="G11">
        <v>3</v>
      </c>
      <c r="H11">
        <v>284.51</v>
      </c>
      <c r="I11" t="s">
        <v>417</v>
      </c>
      <c r="J11">
        <v>853.53</v>
      </c>
      <c r="K11" t="s">
        <v>227</v>
      </c>
      <c r="L11" s="20">
        <v>45357.654826388891</v>
      </c>
      <c r="M11" t="str">
        <f>_xlfn.XLOOKUP(salidas_hist[[#This Row],[PRODUCTO_ID]],total_leyenda[ID],total_leyenda[categoria])</f>
        <v>Parafinado</v>
      </c>
    </row>
    <row r="12" spans="1:19" ht="16.5" hidden="1" x14ac:dyDescent="0.3">
      <c r="A12" s="1">
        <v>10</v>
      </c>
      <c r="B12" s="3">
        <v>45357</v>
      </c>
      <c r="C12" s="5">
        <v>0.65482638888888889</v>
      </c>
      <c r="D12" s="5" t="s">
        <v>396</v>
      </c>
      <c r="E12" s="1" t="s">
        <v>11</v>
      </c>
      <c r="F12" s="1" t="s">
        <v>10</v>
      </c>
      <c r="G12">
        <v>2</v>
      </c>
      <c r="H12">
        <v>1019.05</v>
      </c>
      <c r="I12" t="s">
        <v>418</v>
      </c>
      <c r="J12">
        <v>2038.1</v>
      </c>
      <c r="K12" t="s">
        <v>227</v>
      </c>
      <c r="L12" s="20">
        <v>45357.654826388891</v>
      </c>
      <c r="M12" t="str">
        <f>_xlfn.XLOOKUP(salidas_hist[[#This Row],[PRODUCTO_ID]],total_leyenda[ID],total_leyenda[categoria])</f>
        <v>Parafinado</v>
      </c>
      <c r="O12" s="50"/>
      <c r="P12" s="50"/>
      <c r="Q12" s="51"/>
      <c r="R12" s="52"/>
      <c r="S12" s="53"/>
    </row>
    <row r="13" spans="1:19" hidden="1" x14ac:dyDescent="0.25">
      <c r="A13" s="1">
        <v>11</v>
      </c>
      <c r="B13" s="3">
        <v>45357</v>
      </c>
      <c r="C13" s="5">
        <v>0.71976851851851853</v>
      </c>
      <c r="D13" s="5" t="s">
        <v>396</v>
      </c>
      <c r="E13" s="1" t="s">
        <v>134</v>
      </c>
      <c r="F13" s="1" t="s">
        <v>128</v>
      </c>
      <c r="G13">
        <v>60</v>
      </c>
      <c r="H13">
        <v>325.97000000000003</v>
      </c>
      <c r="J13">
        <v>19558.2</v>
      </c>
      <c r="K13" t="s">
        <v>227</v>
      </c>
      <c r="L13" s="20">
        <v>45357.719768518517</v>
      </c>
      <c r="M13" t="str">
        <f>_xlfn.XLOOKUP(salidas_hist[[#This Row],[PRODUCTO_ID]],total_leyenda[ID],total_leyenda[categoria])</f>
        <v>Palillo Bamboo</v>
      </c>
    </row>
    <row r="14" spans="1:19" hidden="1" x14ac:dyDescent="0.25">
      <c r="A14" s="1">
        <v>11</v>
      </c>
      <c r="B14" s="3">
        <v>45357</v>
      </c>
      <c r="C14" s="5">
        <v>0.71976851851851853</v>
      </c>
      <c r="D14" s="5" t="s">
        <v>396</v>
      </c>
      <c r="E14" s="1" t="s">
        <v>120</v>
      </c>
      <c r="F14" s="1" t="s">
        <v>117</v>
      </c>
      <c r="G14">
        <v>5</v>
      </c>
      <c r="H14">
        <v>544.63</v>
      </c>
      <c r="J14">
        <v>2723.15</v>
      </c>
      <c r="K14" t="s">
        <v>227</v>
      </c>
      <c r="L14" s="20">
        <v>45357.719768518517</v>
      </c>
      <c r="M14" t="str">
        <f>_xlfn.XLOOKUP(salidas_hist[[#This Row],[PRODUCTO_ID]],total_leyenda[ID],total_leyenda[categoria])</f>
        <v>Papel Aluminio</v>
      </c>
    </row>
    <row r="15" spans="1:19" hidden="1" x14ac:dyDescent="0.25">
      <c r="A15" s="1">
        <v>11</v>
      </c>
      <c r="B15" s="3">
        <v>45357</v>
      </c>
      <c r="C15" s="5">
        <v>0.71976851851851853</v>
      </c>
      <c r="D15" s="5" t="s">
        <v>396</v>
      </c>
      <c r="E15" s="1" t="s">
        <v>164</v>
      </c>
      <c r="F15" s="1" t="s">
        <v>165</v>
      </c>
      <c r="G15">
        <v>5</v>
      </c>
      <c r="H15">
        <v>676.68</v>
      </c>
      <c r="J15">
        <v>3383.4</v>
      </c>
      <c r="K15" t="s">
        <v>227</v>
      </c>
      <c r="L15" s="20">
        <v>45357.719768518517</v>
      </c>
      <c r="M15" t="str">
        <f>_xlfn.XLOOKUP(salidas_hist[[#This Row],[PRODUCTO_ID]],total_leyenda[ID],total_leyenda[categoria])</f>
        <v>VINIPEL</v>
      </c>
    </row>
    <row r="16" spans="1:19" hidden="1" x14ac:dyDescent="0.25">
      <c r="A16" s="1">
        <v>11</v>
      </c>
      <c r="B16" s="3">
        <v>45357</v>
      </c>
      <c r="C16" s="5">
        <v>0.71976851851851853</v>
      </c>
      <c r="D16" s="5" t="s">
        <v>396</v>
      </c>
      <c r="E16" s="1" t="s">
        <v>210</v>
      </c>
      <c r="F16" s="1" t="s">
        <v>199</v>
      </c>
      <c r="G16">
        <v>20</v>
      </c>
      <c r="H16">
        <v>1003.57</v>
      </c>
      <c r="J16">
        <v>20071.400000000001</v>
      </c>
      <c r="K16" t="s">
        <v>227</v>
      </c>
      <c r="L16" s="20">
        <v>45357.719768518517</v>
      </c>
      <c r="M16" t="str">
        <f>_xlfn.XLOOKUP(salidas_hist[[#This Row],[PRODUCTO_ID]],total_leyenda[ID],total_leyenda[categoria])</f>
        <v>Bolsa Polipropileno</v>
      </c>
    </row>
    <row r="17" spans="1:13" x14ac:dyDescent="0.25">
      <c r="A17" s="1">
        <v>12</v>
      </c>
      <c r="B17" s="3">
        <v>45414</v>
      </c>
      <c r="C17" s="5">
        <v>0.63651620370370365</v>
      </c>
      <c r="D17" s="5" t="s">
        <v>396</v>
      </c>
      <c r="E17" s="1"/>
      <c r="F17" s="1"/>
      <c r="I17" t="s">
        <v>381</v>
      </c>
      <c r="J17">
        <v>45414</v>
      </c>
      <c r="K17" t="s">
        <v>227</v>
      </c>
      <c r="L17" s="20">
        <v>45414.636516203704</v>
      </c>
      <c r="M17" t="e">
        <f>_xlfn.XLOOKUP(salidas_hist[[#This Row],[PRODUCTO_ID]],total_leyenda[ID],total_leyenda[categoria])</f>
        <v>#N/A</v>
      </c>
    </row>
    <row r="18" spans="1:13" x14ac:dyDescent="0.25">
      <c r="A18" s="1">
        <v>12</v>
      </c>
      <c r="B18" s="3">
        <v>45414</v>
      </c>
      <c r="C18" s="5">
        <v>0.63651620370370365</v>
      </c>
      <c r="D18" s="5" t="s">
        <v>396</v>
      </c>
      <c r="E18" s="1"/>
      <c r="F18" s="1"/>
      <c r="K18" t="s">
        <v>227</v>
      </c>
      <c r="L18" s="20">
        <v>45414.636516203704</v>
      </c>
      <c r="M18" t="e">
        <f>_xlfn.XLOOKUP(salidas_hist[[#This Row],[PRODUCTO_ID]],total_leyenda[ID],total_leyenda[categoria])</f>
        <v>#N/A</v>
      </c>
    </row>
    <row r="19" spans="1:13" x14ac:dyDescent="0.25">
      <c r="A19" s="1">
        <v>12</v>
      </c>
      <c r="B19" s="3">
        <v>45414</v>
      </c>
      <c r="C19" s="5">
        <v>0.63651620370370365</v>
      </c>
      <c r="D19" s="5" t="s">
        <v>396</v>
      </c>
      <c r="E19" s="1" t="s">
        <v>400</v>
      </c>
      <c r="F19" s="1">
        <v>3184278532</v>
      </c>
      <c r="I19" t="s">
        <v>382</v>
      </c>
      <c r="J19" t="s">
        <v>396</v>
      </c>
      <c r="K19" t="s">
        <v>227</v>
      </c>
      <c r="L19" s="20">
        <v>45414.636516203704</v>
      </c>
      <c r="M19" t="e">
        <f>_xlfn.XLOOKUP(salidas_hist[[#This Row],[PRODUCTO_ID]],total_leyenda[ID],total_leyenda[categoria])</f>
        <v>#N/A</v>
      </c>
    </row>
    <row r="20" spans="1:13" x14ac:dyDescent="0.25">
      <c r="A20" s="1">
        <v>12</v>
      </c>
      <c r="B20" s="3">
        <v>45414</v>
      </c>
      <c r="C20" s="5">
        <v>0.63651620370370365</v>
      </c>
      <c r="D20" s="5" t="s">
        <v>396</v>
      </c>
      <c r="E20" s="1" t="s">
        <v>401</v>
      </c>
      <c r="F20" s="1" t="s">
        <v>402</v>
      </c>
      <c r="I20" t="s">
        <v>406</v>
      </c>
      <c r="J20" t="s">
        <v>408</v>
      </c>
      <c r="K20" t="s">
        <v>227</v>
      </c>
      <c r="L20" s="20">
        <v>45414.636516203704</v>
      </c>
      <c r="M20" t="e">
        <f>_xlfn.XLOOKUP(salidas_hist[[#This Row],[PRODUCTO_ID]],total_leyenda[ID],total_leyenda[categoria])</f>
        <v>#N/A</v>
      </c>
    </row>
    <row r="21" spans="1:13" x14ac:dyDescent="0.25">
      <c r="A21" s="1">
        <v>13</v>
      </c>
      <c r="B21" s="3">
        <v>45414</v>
      </c>
      <c r="C21" s="5">
        <v>0.63659722222222226</v>
      </c>
      <c r="D21" s="5" t="s">
        <v>396</v>
      </c>
      <c r="E21" s="1"/>
      <c r="F21" s="1"/>
      <c r="I21" t="s">
        <v>381</v>
      </c>
      <c r="J21">
        <v>45414</v>
      </c>
      <c r="K21" t="s">
        <v>227</v>
      </c>
      <c r="L21" s="20">
        <v>45414.636597222219</v>
      </c>
      <c r="M21" t="e">
        <f>_xlfn.XLOOKUP(salidas_hist[[#This Row],[PRODUCTO_ID]],total_leyenda[ID],total_leyenda[categoria])</f>
        <v>#N/A</v>
      </c>
    </row>
    <row r="22" spans="1:13" x14ac:dyDescent="0.25">
      <c r="A22" s="1">
        <v>13</v>
      </c>
      <c r="B22" s="3">
        <v>45414</v>
      </c>
      <c r="C22" s="5">
        <v>0.63659722222222226</v>
      </c>
      <c r="D22" s="5" t="s">
        <v>396</v>
      </c>
      <c r="E22" s="1"/>
      <c r="F22" s="1"/>
      <c r="K22" t="s">
        <v>227</v>
      </c>
      <c r="L22" s="20">
        <v>45414.636597222219</v>
      </c>
      <c r="M22" t="e">
        <f>_xlfn.XLOOKUP(salidas_hist[[#This Row],[PRODUCTO_ID]],total_leyenda[ID],total_leyenda[categoria])</f>
        <v>#N/A</v>
      </c>
    </row>
    <row r="23" spans="1:13" x14ac:dyDescent="0.25">
      <c r="A23" s="1">
        <v>13</v>
      </c>
      <c r="B23" s="3">
        <v>45414</v>
      </c>
      <c r="C23" s="5">
        <v>0.63659722222222226</v>
      </c>
      <c r="D23" s="5" t="s">
        <v>396</v>
      </c>
      <c r="E23" s="1" t="s">
        <v>400</v>
      </c>
      <c r="F23" s="1">
        <v>3184278532</v>
      </c>
      <c r="I23" t="s">
        <v>382</v>
      </c>
      <c r="J23" t="s">
        <v>396</v>
      </c>
      <c r="K23" t="s">
        <v>227</v>
      </c>
      <c r="L23" s="20">
        <v>45414.636597222219</v>
      </c>
      <c r="M23" t="e">
        <f>_xlfn.XLOOKUP(salidas_hist[[#This Row],[PRODUCTO_ID]],total_leyenda[ID],total_leyenda[categoria])</f>
        <v>#N/A</v>
      </c>
    </row>
    <row r="24" spans="1:13" x14ac:dyDescent="0.25">
      <c r="A24" s="1">
        <v>13</v>
      </c>
      <c r="B24" s="3">
        <v>45414</v>
      </c>
      <c r="C24" s="5">
        <v>0.63659722222222226</v>
      </c>
      <c r="D24" s="5" t="s">
        <v>396</v>
      </c>
      <c r="E24" s="1" t="s">
        <v>401</v>
      </c>
      <c r="F24" s="1" t="s">
        <v>402</v>
      </c>
      <c r="I24" t="s">
        <v>406</v>
      </c>
      <c r="J24" t="s">
        <v>408</v>
      </c>
      <c r="K24" t="s">
        <v>227</v>
      </c>
      <c r="L24" s="20">
        <v>45414.636597222219</v>
      </c>
      <c r="M24" t="e">
        <f>_xlfn.XLOOKUP(salidas_hist[[#This Row],[PRODUCTO_ID]],total_leyenda[ID],total_leyenda[categoria])</f>
        <v>#N/A</v>
      </c>
    </row>
  </sheetData>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K12" sqref="K12"/>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232</v>
      </c>
      <c r="B1" t="s">
        <v>331</v>
      </c>
      <c r="C1" t="s">
        <v>332</v>
      </c>
      <c r="D1" t="s">
        <v>333</v>
      </c>
      <c r="E1" t="s">
        <v>329</v>
      </c>
      <c r="F1" t="s">
        <v>330</v>
      </c>
      <c r="G1" t="s">
        <v>231</v>
      </c>
      <c r="H1" t="s">
        <v>334</v>
      </c>
      <c r="I1" t="s">
        <v>373</v>
      </c>
      <c r="J1" t="s">
        <v>335</v>
      </c>
      <c r="K1" t="s">
        <v>225</v>
      </c>
      <c r="L1" t="s">
        <v>328</v>
      </c>
    </row>
    <row r="2" spans="1:12" x14ac:dyDescent="0.25">
      <c r="A2" t="s">
        <v>238</v>
      </c>
      <c r="B2" t="s">
        <v>226</v>
      </c>
      <c r="C2" t="s">
        <v>147</v>
      </c>
      <c r="D2">
        <v>0</v>
      </c>
      <c r="E2" s="4">
        <v>45218</v>
      </c>
      <c r="F2" s="15">
        <v>0.33333333333333331</v>
      </c>
      <c r="G2" s="15">
        <v>0.33333333333333331</v>
      </c>
      <c r="H2" t="s">
        <v>146</v>
      </c>
      <c r="I2" t="s">
        <v>132</v>
      </c>
      <c r="J2" t="s">
        <v>218</v>
      </c>
      <c r="K2" s="21">
        <v>45317.6875</v>
      </c>
      <c r="L2">
        <f>SUMIF(C$2:C2, historico_movimientos[[#This Row],[id_producto]],D$2:D2)</f>
        <v>0</v>
      </c>
    </row>
    <row r="3" spans="1:12" x14ac:dyDescent="0.25">
      <c r="A3" t="s">
        <v>239</v>
      </c>
      <c r="B3" t="s">
        <v>226</v>
      </c>
      <c r="C3" t="s">
        <v>164</v>
      </c>
      <c r="D3">
        <v>67</v>
      </c>
      <c r="E3" s="4">
        <v>45218</v>
      </c>
      <c r="F3" s="15">
        <v>0.33333333333333331</v>
      </c>
      <c r="G3" s="15">
        <v>0.33333333333333331</v>
      </c>
      <c r="H3" t="s">
        <v>165</v>
      </c>
      <c r="I3" t="s">
        <v>132</v>
      </c>
      <c r="J3" t="s">
        <v>218</v>
      </c>
      <c r="K3" s="21">
        <v>45317.6875</v>
      </c>
      <c r="L3">
        <f>SUMIF(C$2:C3, historico_movimientos[[#This Row],[id_producto]],D$2:D3)</f>
        <v>67</v>
      </c>
    </row>
    <row r="4" spans="1:12" x14ac:dyDescent="0.25">
      <c r="A4" t="s">
        <v>240</v>
      </c>
      <c r="B4" t="s">
        <v>226</v>
      </c>
      <c r="C4" t="s">
        <v>141</v>
      </c>
      <c r="D4">
        <v>2</v>
      </c>
      <c r="E4" s="4">
        <v>45218</v>
      </c>
      <c r="F4" s="15">
        <v>0.33333333333333331</v>
      </c>
      <c r="G4" s="15">
        <v>0.33333333333333331</v>
      </c>
      <c r="H4" t="s">
        <v>145</v>
      </c>
      <c r="I4" t="s">
        <v>132</v>
      </c>
      <c r="J4" t="s">
        <v>218</v>
      </c>
      <c r="K4" s="21">
        <v>45317.6875</v>
      </c>
      <c r="L4">
        <f>SUMIF(C$2:C4, historico_movimientos[[#This Row],[id_producto]],D$2:D4)</f>
        <v>2</v>
      </c>
    </row>
    <row r="5" spans="1:12" x14ac:dyDescent="0.25">
      <c r="A5" t="s">
        <v>241</v>
      </c>
      <c r="B5" t="s">
        <v>226</v>
      </c>
      <c r="C5" t="s">
        <v>139</v>
      </c>
      <c r="D5">
        <v>5</v>
      </c>
      <c r="E5" s="4">
        <v>45218</v>
      </c>
      <c r="F5" s="15">
        <v>0.33333333333333331</v>
      </c>
      <c r="G5" s="15">
        <v>0.33333333333333331</v>
      </c>
      <c r="H5" t="s">
        <v>143</v>
      </c>
      <c r="I5" t="s">
        <v>132</v>
      </c>
      <c r="J5" t="s">
        <v>218</v>
      </c>
      <c r="K5" s="21">
        <v>45317.6875</v>
      </c>
      <c r="L5">
        <f>SUMIF(C$2:C5, historico_movimientos[[#This Row],[id_producto]],D$2:D5)</f>
        <v>5</v>
      </c>
    </row>
    <row r="6" spans="1:12" x14ac:dyDescent="0.25">
      <c r="A6" t="s">
        <v>242</v>
      </c>
      <c r="B6" t="s">
        <v>226</v>
      </c>
      <c r="C6" t="s">
        <v>140</v>
      </c>
      <c r="D6">
        <v>13</v>
      </c>
      <c r="E6" s="4">
        <v>45218</v>
      </c>
      <c r="F6" s="15">
        <v>0.33333333333333331</v>
      </c>
      <c r="G6" s="15">
        <v>0.33333333333333331</v>
      </c>
      <c r="H6" t="s">
        <v>144</v>
      </c>
      <c r="I6" t="s">
        <v>132</v>
      </c>
      <c r="J6" t="s">
        <v>218</v>
      </c>
      <c r="K6" s="21">
        <v>45317.6875</v>
      </c>
      <c r="L6">
        <f>SUMIF(C$2:C6, historico_movimientos[[#This Row],[id_producto]],D$2:D6)</f>
        <v>13</v>
      </c>
    </row>
    <row r="7" spans="1:12" x14ac:dyDescent="0.25">
      <c r="A7" t="s">
        <v>243</v>
      </c>
      <c r="B7" t="s">
        <v>226</v>
      </c>
      <c r="C7" t="s">
        <v>173</v>
      </c>
      <c r="D7">
        <v>0</v>
      </c>
      <c r="E7" s="4">
        <v>45218</v>
      </c>
      <c r="F7" s="15">
        <v>0.33333333333333331</v>
      </c>
      <c r="G7" s="15">
        <v>0.33333333333333331</v>
      </c>
      <c r="H7" t="s">
        <v>166</v>
      </c>
      <c r="I7" t="s">
        <v>132</v>
      </c>
      <c r="J7" t="s">
        <v>218</v>
      </c>
      <c r="K7" s="21">
        <v>45317.6875</v>
      </c>
      <c r="L7">
        <f>SUMIF(C$2:C7, historico_movimientos[[#This Row],[id_producto]],D$2:D7)</f>
        <v>0</v>
      </c>
    </row>
    <row r="8" spans="1:12" x14ac:dyDescent="0.25">
      <c r="A8" t="s">
        <v>244</v>
      </c>
      <c r="B8" t="s">
        <v>226</v>
      </c>
      <c r="C8" t="s">
        <v>177</v>
      </c>
      <c r="D8">
        <v>0</v>
      </c>
      <c r="E8" s="4">
        <v>45218</v>
      </c>
      <c r="F8" s="15">
        <v>0.33333333333333331</v>
      </c>
      <c r="G8" s="15">
        <v>0.33333333333333331</v>
      </c>
      <c r="H8" t="s">
        <v>170</v>
      </c>
      <c r="I8" t="s">
        <v>132</v>
      </c>
      <c r="J8" t="s">
        <v>218</v>
      </c>
      <c r="K8" s="21">
        <v>45317.6875</v>
      </c>
      <c r="L8">
        <f>SUMIF(C$2:C8, historico_movimientos[[#This Row],[id_producto]],D$2:D8)</f>
        <v>0</v>
      </c>
    </row>
    <row r="9" spans="1:12" x14ac:dyDescent="0.25">
      <c r="A9" t="s">
        <v>245</v>
      </c>
      <c r="B9" t="s">
        <v>226</v>
      </c>
      <c r="C9" t="s">
        <v>178</v>
      </c>
      <c r="D9">
        <v>23</v>
      </c>
      <c r="E9" s="4">
        <v>45218</v>
      </c>
      <c r="F9" s="15">
        <v>0.33333333333333331</v>
      </c>
      <c r="G9" s="15">
        <v>0.33333333333333331</v>
      </c>
      <c r="H9" t="s">
        <v>171</v>
      </c>
      <c r="I9" t="s">
        <v>132</v>
      </c>
      <c r="J9" t="s">
        <v>218</v>
      </c>
      <c r="K9" s="21">
        <v>45317.6875</v>
      </c>
      <c r="L9">
        <f>SUMIF(C$2:C9, historico_movimientos[[#This Row],[id_producto]],D$2:D9)</f>
        <v>23</v>
      </c>
    </row>
    <row r="10" spans="1:12" x14ac:dyDescent="0.25">
      <c r="A10" t="s">
        <v>246</v>
      </c>
      <c r="B10" t="s">
        <v>226</v>
      </c>
      <c r="C10" t="s">
        <v>176</v>
      </c>
      <c r="D10">
        <v>61</v>
      </c>
      <c r="E10" s="4">
        <v>45218</v>
      </c>
      <c r="F10" s="15">
        <v>0.33333333333333331</v>
      </c>
      <c r="G10" s="15">
        <v>0.33333333333333331</v>
      </c>
      <c r="H10" t="s">
        <v>169</v>
      </c>
      <c r="I10" t="s">
        <v>132</v>
      </c>
      <c r="J10" t="s">
        <v>218</v>
      </c>
      <c r="K10" s="21">
        <v>45317.6875</v>
      </c>
      <c r="L10">
        <f>SUMIF(C$2:C10, historico_movimientos[[#This Row],[id_producto]],D$2:D10)</f>
        <v>61</v>
      </c>
    </row>
    <row r="11" spans="1:12" x14ac:dyDescent="0.25">
      <c r="A11" t="s">
        <v>247</v>
      </c>
      <c r="B11" t="s">
        <v>226</v>
      </c>
      <c r="C11" t="s">
        <v>174</v>
      </c>
      <c r="D11">
        <v>0</v>
      </c>
      <c r="E11" s="4">
        <v>45218</v>
      </c>
      <c r="F11" s="15">
        <v>0.33333333333333331</v>
      </c>
      <c r="G11" s="15">
        <v>0.33333333333333331</v>
      </c>
      <c r="H11" t="s">
        <v>167</v>
      </c>
      <c r="I11" t="s">
        <v>132</v>
      </c>
      <c r="J11" t="s">
        <v>218</v>
      </c>
      <c r="K11" s="21">
        <v>45317.6875</v>
      </c>
      <c r="L11">
        <f>SUMIF(C$2:C11, historico_movimientos[[#This Row],[id_producto]],D$2:D11)</f>
        <v>0</v>
      </c>
    </row>
    <row r="12" spans="1:12" x14ac:dyDescent="0.25">
      <c r="A12" t="s">
        <v>248</v>
      </c>
      <c r="B12" t="s">
        <v>226</v>
      </c>
      <c r="C12" t="s">
        <v>175</v>
      </c>
      <c r="D12">
        <v>0</v>
      </c>
      <c r="E12" s="4">
        <v>45218</v>
      </c>
      <c r="F12" s="15">
        <v>0.33333333333333331</v>
      </c>
      <c r="G12" s="15">
        <v>0.33333333333333331</v>
      </c>
      <c r="H12" t="s">
        <v>168</v>
      </c>
      <c r="I12" t="s">
        <v>132</v>
      </c>
      <c r="J12" t="s">
        <v>218</v>
      </c>
      <c r="K12" s="21">
        <v>45317.6875</v>
      </c>
      <c r="L12">
        <f>SUMIF(C$2:C12, historico_movimientos[[#This Row],[id_producto]],D$2:D12)</f>
        <v>0</v>
      </c>
    </row>
    <row r="13" spans="1:12" x14ac:dyDescent="0.25">
      <c r="A13" t="s">
        <v>249</v>
      </c>
      <c r="B13" t="s">
        <v>226</v>
      </c>
      <c r="C13" t="s">
        <v>120</v>
      </c>
      <c r="D13">
        <v>7</v>
      </c>
      <c r="E13" s="4">
        <v>45218</v>
      </c>
      <c r="F13" s="15">
        <v>0.33333333333333331</v>
      </c>
      <c r="G13" s="15">
        <v>0.33333333333333331</v>
      </c>
      <c r="H13" t="s">
        <v>117</v>
      </c>
      <c r="I13" t="s">
        <v>111</v>
      </c>
      <c r="J13" t="s">
        <v>218</v>
      </c>
      <c r="K13" s="21">
        <v>45317.6875</v>
      </c>
      <c r="L13">
        <f>SUMIF(C$2:C13, historico_movimientos[[#This Row],[id_producto]],D$2:D13)</f>
        <v>7</v>
      </c>
    </row>
    <row r="14" spans="1:12" x14ac:dyDescent="0.25">
      <c r="A14" t="s">
        <v>250</v>
      </c>
      <c r="B14" t="s">
        <v>226</v>
      </c>
      <c r="C14" t="s">
        <v>121</v>
      </c>
      <c r="D14">
        <v>2</v>
      </c>
      <c r="E14" s="4">
        <v>45218</v>
      </c>
      <c r="F14" s="15">
        <v>0.33333333333333331</v>
      </c>
      <c r="G14" s="15">
        <v>0.33333333333333331</v>
      </c>
      <c r="H14" t="s">
        <v>118</v>
      </c>
      <c r="I14" t="s">
        <v>111</v>
      </c>
      <c r="J14" t="s">
        <v>218</v>
      </c>
      <c r="K14" s="21">
        <v>45317.6875</v>
      </c>
      <c r="L14">
        <f>SUMIF(C$2:C14, historico_movimientos[[#This Row],[id_producto]],D$2:D14)</f>
        <v>2</v>
      </c>
    </row>
    <row r="15" spans="1:12" x14ac:dyDescent="0.25">
      <c r="A15" t="s">
        <v>251</v>
      </c>
      <c r="B15" t="s">
        <v>226</v>
      </c>
      <c r="C15" t="s">
        <v>119</v>
      </c>
      <c r="D15">
        <v>9</v>
      </c>
      <c r="E15" s="4">
        <v>45218</v>
      </c>
      <c r="F15" s="15">
        <v>0.33333333333333331</v>
      </c>
      <c r="G15" s="15">
        <v>0.33333333333333331</v>
      </c>
      <c r="H15" t="s">
        <v>116</v>
      </c>
      <c r="I15" t="s">
        <v>111</v>
      </c>
      <c r="J15" t="s">
        <v>218</v>
      </c>
      <c r="K15" s="21">
        <v>45317.6875</v>
      </c>
      <c r="L15">
        <f>SUMIF(C$2:C15, historico_movimientos[[#This Row],[id_producto]],D$2:D15)</f>
        <v>9</v>
      </c>
    </row>
    <row r="16" spans="1:12" x14ac:dyDescent="0.25">
      <c r="A16" t="s">
        <v>252</v>
      </c>
      <c r="B16" t="s">
        <v>226</v>
      </c>
      <c r="C16" t="s">
        <v>110</v>
      </c>
      <c r="D16">
        <v>20</v>
      </c>
      <c r="E16" s="4">
        <v>45218</v>
      </c>
      <c r="F16" s="15">
        <v>0.33333333333333331</v>
      </c>
      <c r="G16" s="15">
        <v>0.33333333333333331</v>
      </c>
      <c r="H16" t="s">
        <v>106</v>
      </c>
      <c r="I16" t="s">
        <v>372</v>
      </c>
      <c r="J16" t="s">
        <v>218</v>
      </c>
      <c r="K16" s="21">
        <v>45317.6875</v>
      </c>
      <c r="L16">
        <f>SUMIF(C$2:C16, historico_movimientos[[#This Row],[id_producto]],D$2:D16)</f>
        <v>20</v>
      </c>
    </row>
    <row r="17" spans="1:12" x14ac:dyDescent="0.25">
      <c r="A17" t="s">
        <v>253</v>
      </c>
      <c r="B17" t="s">
        <v>226</v>
      </c>
      <c r="C17" t="s">
        <v>114</v>
      </c>
      <c r="D17">
        <v>27</v>
      </c>
      <c r="E17" s="4">
        <v>45218</v>
      </c>
      <c r="F17" s="15">
        <v>0.33333333333333331</v>
      </c>
      <c r="G17" s="15">
        <v>0.33333333333333331</v>
      </c>
      <c r="H17" t="s">
        <v>115</v>
      </c>
      <c r="I17" t="s">
        <v>111</v>
      </c>
      <c r="J17" t="s">
        <v>218</v>
      </c>
      <c r="K17" s="21">
        <v>45317.6875</v>
      </c>
      <c r="L17">
        <f>SUMIF(C$2:C17, historico_movimientos[[#This Row],[id_producto]],D$2:D17)</f>
        <v>27</v>
      </c>
    </row>
    <row r="18" spans="1:12" x14ac:dyDescent="0.25">
      <c r="A18" t="s">
        <v>254</v>
      </c>
      <c r="B18" t="s">
        <v>226</v>
      </c>
      <c r="C18" t="s">
        <v>124</v>
      </c>
      <c r="D18">
        <v>39</v>
      </c>
      <c r="E18" s="4">
        <v>45218</v>
      </c>
      <c r="F18" s="15">
        <v>0.33333333333333331</v>
      </c>
      <c r="G18" s="15">
        <v>0.33333333333333331</v>
      </c>
      <c r="H18" t="s">
        <v>122</v>
      </c>
      <c r="I18" t="s">
        <v>215</v>
      </c>
      <c r="J18" t="s">
        <v>218</v>
      </c>
      <c r="K18" s="21">
        <v>45317.6875</v>
      </c>
      <c r="L18">
        <f>SUMIF(C$2:C18, historico_movimientos[[#This Row],[id_producto]],D$2:D18)</f>
        <v>39</v>
      </c>
    </row>
    <row r="19" spans="1:12" x14ac:dyDescent="0.25">
      <c r="A19" t="s">
        <v>255</v>
      </c>
      <c r="B19" t="s">
        <v>226</v>
      </c>
      <c r="C19" t="s">
        <v>137</v>
      </c>
      <c r="D19">
        <v>9</v>
      </c>
      <c r="E19" s="4">
        <v>45218</v>
      </c>
      <c r="F19" s="15">
        <v>0.33333333333333331</v>
      </c>
      <c r="G19" s="15">
        <v>0.33333333333333331</v>
      </c>
      <c r="H19" t="s">
        <v>131</v>
      </c>
      <c r="I19" t="s">
        <v>127</v>
      </c>
      <c r="J19" t="s">
        <v>218</v>
      </c>
      <c r="K19" s="21">
        <v>45317.6875</v>
      </c>
      <c r="L19">
        <f>SUMIF(C$2:C19, historico_movimientos[[#This Row],[id_producto]],D$2:D19)</f>
        <v>9</v>
      </c>
    </row>
    <row r="20" spans="1:12" x14ac:dyDescent="0.25">
      <c r="A20" t="s">
        <v>256</v>
      </c>
      <c r="B20" t="s">
        <v>226</v>
      </c>
      <c r="C20" t="s">
        <v>138</v>
      </c>
      <c r="D20">
        <v>4</v>
      </c>
      <c r="E20" s="4">
        <v>45218</v>
      </c>
      <c r="F20" s="15">
        <v>0.33333333333333331</v>
      </c>
      <c r="G20" s="15">
        <v>0.33333333333333331</v>
      </c>
      <c r="H20" t="s">
        <v>142</v>
      </c>
      <c r="I20" t="s">
        <v>132</v>
      </c>
      <c r="J20" t="s">
        <v>218</v>
      </c>
      <c r="K20" s="21">
        <v>45317.6875</v>
      </c>
      <c r="L20">
        <f>SUMIF(C$2:C20, historico_movimientos[[#This Row],[id_producto]],D$2:D20)</f>
        <v>4</v>
      </c>
    </row>
    <row r="21" spans="1:12" x14ac:dyDescent="0.25">
      <c r="A21" t="s">
        <v>257</v>
      </c>
      <c r="B21" t="s">
        <v>226</v>
      </c>
      <c r="C21" t="s">
        <v>136</v>
      </c>
      <c r="D21">
        <v>30</v>
      </c>
      <c r="E21" s="4">
        <v>45218</v>
      </c>
      <c r="F21" s="15">
        <v>0.33333333333333331</v>
      </c>
      <c r="G21" s="15">
        <v>0.33333333333333331</v>
      </c>
      <c r="H21" t="s">
        <v>130</v>
      </c>
      <c r="I21" t="s">
        <v>127</v>
      </c>
      <c r="J21" t="s">
        <v>218</v>
      </c>
      <c r="K21" s="21">
        <v>45317.6875</v>
      </c>
      <c r="L21">
        <f>SUMIF(C$2:C21, historico_movimientos[[#This Row],[id_producto]],D$2:D21)</f>
        <v>30</v>
      </c>
    </row>
    <row r="22" spans="1:12" x14ac:dyDescent="0.25">
      <c r="A22" t="s">
        <v>258</v>
      </c>
      <c r="B22" t="s">
        <v>226</v>
      </c>
      <c r="C22" t="s">
        <v>134</v>
      </c>
      <c r="D22">
        <v>1</v>
      </c>
      <c r="E22" s="4">
        <v>45218</v>
      </c>
      <c r="F22" s="15">
        <v>0.33333333333333331</v>
      </c>
      <c r="G22" s="15">
        <v>0.33333333333333331</v>
      </c>
      <c r="H22" t="s">
        <v>128</v>
      </c>
      <c r="I22" t="s">
        <v>127</v>
      </c>
      <c r="J22" t="s">
        <v>218</v>
      </c>
      <c r="K22" s="21">
        <v>45317.6875</v>
      </c>
      <c r="L22">
        <f>SUMIF(C$2:C22, historico_movimientos[[#This Row],[id_producto]],D$2:D22)</f>
        <v>1</v>
      </c>
    </row>
    <row r="23" spans="1:12" x14ac:dyDescent="0.25">
      <c r="A23" t="s">
        <v>259</v>
      </c>
      <c r="B23" t="s">
        <v>226</v>
      </c>
      <c r="C23" t="s">
        <v>135</v>
      </c>
      <c r="D23">
        <v>5</v>
      </c>
      <c r="E23" s="4">
        <v>45218</v>
      </c>
      <c r="F23" s="15">
        <v>0.33333333333333331</v>
      </c>
      <c r="G23" s="15">
        <v>0.33333333333333331</v>
      </c>
      <c r="H23" t="s">
        <v>129</v>
      </c>
      <c r="I23" t="s">
        <v>127</v>
      </c>
      <c r="J23" t="s">
        <v>218</v>
      </c>
      <c r="K23" s="21">
        <v>45317.6875</v>
      </c>
      <c r="L23">
        <f>SUMIF(C$2:C23, historico_movimientos[[#This Row],[id_producto]],D$2:D23)</f>
        <v>5</v>
      </c>
    </row>
    <row r="24" spans="1:12" x14ac:dyDescent="0.25">
      <c r="A24" t="s">
        <v>260</v>
      </c>
      <c r="B24" t="s">
        <v>226</v>
      </c>
      <c r="C24" t="s">
        <v>210</v>
      </c>
      <c r="D24">
        <v>10</v>
      </c>
      <c r="E24" s="4">
        <v>45218</v>
      </c>
      <c r="F24" s="15">
        <v>0.33333333333333331</v>
      </c>
      <c r="G24" s="15">
        <v>0.33333333333333331</v>
      </c>
      <c r="H24" t="s">
        <v>199</v>
      </c>
      <c r="I24" t="s">
        <v>216</v>
      </c>
      <c r="J24" t="s">
        <v>218</v>
      </c>
      <c r="K24" s="21">
        <v>45317.6875</v>
      </c>
      <c r="L24">
        <f>SUMIF(C$2:C24, historico_movimientos[[#This Row],[id_producto]],D$2:D24)</f>
        <v>10</v>
      </c>
    </row>
    <row r="25" spans="1:12" x14ac:dyDescent="0.25">
      <c r="A25" t="s">
        <v>261</v>
      </c>
      <c r="B25" t="s">
        <v>226</v>
      </c>
      <c r="C25" t="s">
        <v>211</v>
      </c>
      <c r="D25">
        <v>0</v>
      </c>
      <c r="E25" s="4">
        <v>45218</v>
      </c>
      <c r="F25" s="15">
        <v>0.33333333333333331</v>
      </c>
      <c r="G25" s="15">
        <v>0.33333333333333331</v>
      </c>
      <c r="H25" t="s">
        <v>200</v>
      </c>
      <c r="I25" t="s">
        <v>216</v>
      </c>
      <c r="J25" t="s">
        <v>218</v>
      </c>
      <c r="K25" s="21">
        <v>45317.6875</v>
      </c>
      <c r="L25">
        <f>SUMIF(C$2:C25, historico_movimientos[[#This Row],[id_producto]],D$2:D25)</f>
        <v>0</v>
      </c>
    </row>
    <row r="26" spans="1:12" x14ac:dyDescent="0.25">
      <c r="A26" t="s">
        <v>262</v>
      </c>
      <c r="B26" t="s">
        <v>226</v>
      </c>
      <c r="C26" t="s">
        <v>209</v>
      </c>
      <c r="D26">
        <v>0</v>
      </c>
      <c r="E26" s="4">
        <v>45218</v>
      </c>
      <c r="F26" s="15">
        <v>0.33333333333333331</v>
      </c>
      <c r="G26" s="15">
        <v>0.33333333333333331</v>
      </c>
      <c r="H26" t="s">
        <v>198</v>
      </c>
      <c r="I26" t="s">
        <v>216</v>
      </c>
      <c r="J26" t="s">
        <v>218</v>
      </c>
      <c r="K26" s="21">
        <v>45317.6875</v>
      </c>
      <c r="L26">
        <f>SUMIF(C$2:C26, historico_movimientos[[#This Row],[id_producto]],D$2:D26)</f>
        <v>0</v>
      </c>
    </row>
    <row r="27" spans="1:12" x14ac:dyDescent="0.25">
      <c r="A27" t="s">
        <v>263</v>
      </c>
      <c r="B27" t="s">
        <v>226</v>
      </c>
      <c r="C27" t="s">
        <v>207</v>
      </c>
      <c r="D27">
        <v>5</v>
      </c>
      <c r="E27" s="4">
        <v>45218</v>
      </c>
      <c r="F27" s="15">
        <v>0.33333333333333331</v>
      </c>
      <c r="G27" s="15">
        <v>0.33333333333333331</v>
      </c>
      <c r="H27" t="s">
        <v>196</v>
      </c>
      <c r="I27" t="s">
        <v>216</v>
      </c>
      <c r="J27" t="s">
        <v>218</v>
      </c>
      <c r="K27" s="21">
        <v>45317.6875</v>
      </c>
      <c r="L27">
        <f>SUMIF(C$2:C27, historico_movimientos[[#This Row],[id_producto]],D$2:D27)</f>
        <v>5</v>
      </c>
    </row>
    <row r="28" spans="1:12" x14ac:dyDescent="0.25">
      <c r="A28" t="s">
        <v>264</v>
      </c>
      <c r="B28" t="s">
        <v>226</v>
      </c>
      <c r="C28" t="s">
        <v>208</v>
      </c>
      <c r="D28">
        <v>4</v>
      </c>
      <c r="E28" s="4">
        <v>45218</v>
      </c>
      <c r="F28" s="15">
        <v>0.33333333333333331</v>
      </c>
      <c r="G28" s="15">
        <v>0.33333333333333331</v>
      </c>
      <c r="H28" t="s">
        <v>197</v>
      </c>
      <c r="I28" t="s">
        <v>216</v>
      </c>
      <c r="J28" t="s">
        <v>218</v>
      </c>
      <c r="K28" s="21">
        <v>45317.6875</v>
      </c>
      <c r="L28">
        <f>SUMIF(C$2:C28, historico_movimientos[[#This Row],[id_producto]],D$2:D28)</f>
        <v>4</v>
      </c>
    </row>
    <row r="29" spans="1:12" x14ac:dyDescent="0.25">
      <c r="A29" t="s">
        <v>265</v>
      </c>
      <c r="B29" t="s">
        <v>226</v>
      </c>
      <c r="C29" t="s">
        <v>212</v>
      </c>
      <c r="D29">
        <v>0</v>
      </c>
      <c r="E29" s="4">
        <v>45218</v>
      </c>
      <c r="F29" s="15">
        <v>0.33333333333333331</v>
      </c>
      <c r="G29" s="15">
        <v>0.33333333333333331</v>
      </c>
      <c r="H29" t="s">
        <v>201</v>
      </c>
      <c r="I29" t="s">
        <v>216</v>
      </c>
      <c r="J29" t="s">
        <v>218</v>
      </c>
      <c r="K29" s="21">
        <v>45317.6875</v>
      </c>
      <c r="L29">
        <f>SUMIF(C$2:C29, historico_movimientos[[#This Row],[id_producto]],D$2:D29)</f>
        <v>0</v>
      </c>
    </row>
    <row r="30" spans="1:12" x14ac:dyDescent="0.25">
      <c r="A30" t="s">
        <v>266</v>
      </c>
      <c r="B30" t="s">
        <v>226</v>
      </c>
      <c r="C30" t="s">
        <v>221</v>
      </c>
      <c r="D30">
        <v>13</v>
      </c>
      <c r="E30" s="4">
        <v>45218</v>
      </c>
      <c r="F30" s="15">
        <v>0.33333333333333331</v>
      </c>
      <c r="G30" s="15">
        <v>0.33333333333333331</v>
      </c>
      <c r="H30" t="s">
        <v>186</v>
      </c>
      <c r="I30" t="s">
        <v>183</v>
      </c>
      <c r="J30" t="s">
        <v>218</v>
      </c>
      <c r="K30" s="21">
        <v>45317.6875</v>
      </c>
      <c r="L30">
        <f>SUMIF(C$2:C30, historico_movimientos[[#This Row],[id_producto]],D$2:D30)</f>
        <v>13</v>
      </c>
    </row>
    <row r="31" spans="1:12" x14ac:dyDescent="0.25">
      <c r="A31" t="s">
        <v>267</v>
      </c>
      <c r="B31" t="s">
        <v>226</v>
      </c>
      <c r="C31" t="s">
        <v>222</v>
      </c>
      <c r="D31">
        <v>39</v>
      </c>
      <c r="E31" s="4">
        <v>45218</v>
      </c>
      <c r="F31" s="15">
        <v>0.33333333333333331</v>
      </c>
      <c r="G31" s="15">
        <v>0.33333333333333331</v>
      </c>
      <c r="H31" t="s">
        <v>187</v>
      </c>
      <c r="I31" t="s">
        <v>183</v>
      </c>
      <c r="J31" t="s">
        <v>218</v>
      </c>
      <c r="K31" s="21">
        <v>45317.6875</v>
      </c>
      <c r="L31">
        <f>SUMIF(C$2:C31, historico_movimientos[[#This Row],[id_producto]],D$2:D31)</f>
        <v>39</v>
      </c>
    </row>
    <row r="32" spans="1:12" x14ac:dyDescent="0.25">
      <c r="A32" t="s">
        <v>268</v>
      </c>
      <c r="B32" t="s">
        <v>226</v>
      </c>
      <c r="C32" t="s">
        <v>220</v>
      </c>
      <c r="D32">
        <v>0</v>
      </c>
      <c r="E32" s="4">
        <v>45218</v>
      </c>
      <c r="F32" s="15">
        <v>0.33333333333333331</v>
      </c>
      <c r="G32" s="15">
        <v>0.33333333333333331</v>
      </c>
      <c r="H32" t="s">
        <v>185</v>
      </c>
      <c r="I32" t="s">
        <v>183</v>
      </c>
      <c r="J32" t="s">
        <v>218</v>
      </c>
      <c r="K32" s="21">
        <v>45317.6875</v>
      </c>
      <c r="L32">
        <f>SUMIF(C$2:C32, historico_movimientos[[#This Row],[id_producto]],D$2:D32)</f>
        <v>0</v>
      </c>
    </row>
    <row r="33" spans="1:12" x14ac:dyDescent="0.25">
      <c r="A33" t="s">
        <v>269</v>
      </c>
      <c r="B33" t="s">
        <v>226</v>
      </c>
      <c r="C33" t="s">
        <v>213</v>
      </c>
      <c r="D33">
        <v>0</v>
      </c>
      <c r="E33" s="4">
        <v>45218</v>
      </c>
      <c r="F33" s="15">
        <v>0.33333333333333331</v>
      </c>
      <c r="G33" s="15">
        <v>0.33333333333333331</v>
      </c>
      <c r="H33" t="s">
        <v>202</v>
      </c>
      <c r="I33" t="s">
        <v>216</v>
      </c>
      <c r="J33" t="s">
        <v>218</v>
      </c>
      <c r="K33" s="21">
        <v>45317.6875</v>
      </c>
      <c r="L33">
        <f>SUMIF(C$2:C33, historico_movimientos[[#This Row],[id_producto]],D$2:D33)</f>
        <v>0</v>
      </c>
    </row>
    <row r="34" spans="1:12" x14ac:dyDescent="0.25">
      <c r="A34" t="s">
        <v>270</v>
      </c>
      <c r="B34" t="s">
        <v>226</v>
      </c>
      <c r="C34" t="s">
        <v>184</v>
      </c>
      <c r="D34">
        <v>28</v>
      </c>
      <c r="E34" s="4">
        <v>45218</v>
      </c>
      <c r="F34" s="15">
        <v>0.33333333333333331</v>
      </c>
      <c r="G34" s="15">
        <v>0.33333333333333331</v>
      </c>
      <c r="H34" t="s">
        <v>180</v>
      </c>
      <c r="I34" t="s">
        <v>183</v>
      </c>
      <c r="J34" t="s">
        <v>218</v>
      </c>
      <c r="K34" s="21">
        <v>45317.6875</v>
      </c>
      <c r="L34">
        <f>SUMIF(C$2:C34, historico_movimientos[[#This Row],[id_producto]],D$2:D34)</f>
        <v>28</v>
      </c>
    </row>
    <row r="35" spans="1:12" x14ac:dyDescent="0.25">
      <c r="A35" t="s">
        <v>271</v>
      </c>
      <c r="B35" t="s">
        <v>226</v>
      </c>
      <c r="C35" t="s">
        <v>157</v>
      </c>
      <c r="D35">
        <v>49</v>
      </c>
      <c r="E35" s="4">
        <v>45218</v>
      </c>
      <c r="F35" s="15">
        <v>0.33333333333333331</v>
      </c>
      <c r="G35" s="15">
        <v>0.33333333333333331</v>
      </c>
      <c r="H35" t="s">
        <v>153</v>
      </c>
      <c r="I35" t="s">
        <v>148</v>
      </c>
      <c r="J35" t="s">
        <v>218</v>
      </c>
      <c r="K35" s="21">
        <v>45317.6875</v>
      </c>
      <c r="L35">
        <f>SUMIF(C$2:C35, historico_movimientos[[#This Row],[id_producto]],D$2:D35)</f>
        <v>49</v>
      </c>
    </row>
    <row r="36" spans="1:12" x14ac:dyDescent="0.25">
      <c r="A36" t="s">
        <v>272</v>
      </c>
      <c r="B36" t="s">
        <v>226</v>
      </c>
      <c r="C36" t="s">
        <v>158</v>
      </c>
      <c r="D36">
        <v>3</v>
      </c>
      <c r="E36" s="4">
        <v>45218</v>
      </c>
      <c r="F36" s="15">
        <v>0.33333333333333331</v>
      </c>
      <c r="G36" s="15">
        <v>0.33333333333333331</v>
      </c>
      <c r="H36" t="s">
        <v>154</v>
      </c>
      <c r="I36" t="s">
        <v>148</v>
      </c>
      <c r="J36" t="s">
        <v>218</v>
      </c>
      <c r="K36" s="21">
        <v>45317.6875</v>
      </c>
      <c r="L36">
        <f>SUMIF(C$2:C36, historico_movimientos[[#This Row],[id_producto]],D$2:D36)</f>
        <v>3</v>
      </c>
    </row>
    <row r="37" spans="1:12" x14ac:dyDescent="0.25">
      <c r="A37" t="s">
        <v>273</v>
      </c>
      <c r="B37" t="s">
        <v>226</v>
      </c>
      <c r="C37" t="s">
        <v>156</v>
      </c>
      <c r="D37">
        <v>4</v>
      </c>
      <c r="E37" s="4">
        <v>45218</v>
      </c>
      <c r="F37" s="15">
        <v>0.33333333333333331</v>
      </c>
      <c r="G37" s="15">
        <v>0.33333333333333331</v>
      </c>
      <c r="H37" t="s">
        <v>152</v>
      </c>
      <c r="I37" t="s">
        <v>148</v>
      </c>
      <c r="J37" t="s">
        <v>218</v>
      </c>
      <c r="K37" s="21">
        <v>45317.6875</v>
      </c>
      <c r="L37">
        <f>SUMIF(C$2:C37, historico_movimientos[[#This Row],[id_producto]],D$2:D37)</f>
        <v>4</v>
      </c>
    </row>
    <row r="38" spans="1:12" x14ac:dyDescent="0.25">
      <c r="A38" t="s">
        <v>274</v>
      </c>
      <c r="B38" t="s">
        <v>226</v>
      </c>
      <c r="C38" t="s">
        <v>179</v>
      </c>
      <c r="D38">
        <v>32</v>
      </c>
      <c r="E38" s="4">
        <v>45218</v>
      </c>
      <c r="F38" s="15">
        <v>0.33333333333333331</v>
      </c>
      <c r="G38" s="15">
        <v>0.33333333333333331</v>
      </c>
      <c r="H38" t="s">
        <v>172</v>
      </c>
      <c r="I38" t="s">
        <v>132</v>
      </c>
      <c r="J38" t="s">
        <v>218</v>
      </c>
      <c r="K38" s="21">
        <v>45317.6875</v>
      </c>
      <c r="L38">
        <f>SUMIF(C$2:C38, historico_movimientos[[#This Row],[id_producto]],D$2:D38)</f>
        <v>32</v>
      </c>
    </row>
    <row r="39" spans="1:12" x14ac:dyDescent="0.25">
      <c r="A39" t="s">
        <v>275</v>
      </c>
      <c r="B39" t="s">
        <v>226</v>
      </c>
      <c r="C39" t="s">
        <v>151</v>
      </c>
      <c r="D39">
        <v>53</v>
      </c>
      <c r="E39" s="4">
        <v>45218</v>
      </c>
      <c r="F39" s="15">
        <v>0.33333333333333331</v>
      </c>
      <c r="G39" s="15">
        <v>0.33333333333333331</v>
      </c>
      <c r="H39" t="s">
        <v>150</v>
      </c>
      <c r="I39" t="s">
        <v>148</v>
      </c>
      <c r="J39" t="s">
        <v>218</v>
      </c>
      <c r="K39" s="21">
        <v>45317.6875</v>
      </c>
      <c r="L39">
        <f>SUMIF(C$2:C39, historico_movimientos[[#This Row],[id_producto]],D$2:D39)</f>
        <v>53</v>
      </c>
    </row>
    <row r="40" spans="1:12" x14ac:dyDescent="0.25">
      <c r="A40" t="s">
        <v>276</v>
      </c>
      <c r="B40" t="s">
        <v>226</v>
      </c>
      <c r="C40" t="s">
        <v>159</v>
      </c>
      <c r="D40">
        <v>36</v>
      </c>
      <c r="E40" s="4">
        <v>45218</v>
      </c>
      <c r="F40" s="15">
        <v>0.33333333333333331</v>
      </c>
      <c r="G40" s="15">
        <v>0.33333333333333331</v>
      </c>
      <c r="H40" t="s">
        <v>155</v>
      </c>
      <c r="I40" t="s">
        <v>148</v>
      </c>
      <c r="J40" t="s">
        <v>218</v>
      </c>
      <c r="K40" s="21">
        <v>45317.6875</v>
      </c>
      <c r="L40">
        <f>SUMIF(C$2:C40, historico_movimientos[[#This Row],[id_producto]],D$2:D40)</f>
        <v>36</v>
      </c>
    </row>
    <row r="41" spans="1:12" x14ac:dyDescent="0.25">
      <c r="A41" t="s">
        <v>277</v>
      </c>
      <c r="B41" t="s">
        <v>226</v>
      </c>
      <c r="C41" t="s">
        <v>205</v>
      </c>
      <c r="D41">
        <v>10</v>
      </c>
      <c r="E41" s="4">
        <v>45218</v>
      </c>
      <c r="F41" s="15">
        <v>0.33333333333333331</v>
      </c>
      <c r="G41" s="15">
        <v>0.33333333333333331</v>
      </c>
      <c r="H41" t="s">
        <v>194</v>
      </c>
      <c r="I41" t="s">
        <v>216</v>
      </c>
      <c r="J41" t="s">
        <v>218</v>
      </c>
      <c r="K41" s="21">
        <v>45317.6875</v>
      </c>
      <c r="L41">
        <f>SUMIF(C$2:C41, historico_movimientos[[#This Row],[id_producto]],D$2:D41)</f>
        <v>10</v>
      </c>
    </row>
    <row r="42" spans="1:12" x14ac:dyDescent="0.25">
      <c r="A42" t="s">
        <v>278</v>
      </c>
      <c r="B42" t="s">
        <v>226</v>
      </c>
      <c r="C42" t="s">
        <v>206</v>
      </c>
      <c r="D42">
        <v>15</v>
      </c>
      <c r="E42" s="4">
        <v>45218</v>
      </c>
      <c r="F42" s="15">
        <v>0.33333333333333331</v>
      </c>
      <c r="G42" s="15">
        <v>0.33333333333333331</v>
      </c>
      <c r="H42" t="s">
        <v>195</v>
      </c>
      <c r="I42" t="s">
        <v>216</v>
      </c>
      <c r="J42" t="s">
        <v>218</v>
      </c>
      <c r="K42" s="21">
        <v>45317.6875</v>
      </c>
      <c r="L42">
        <f>SUMIF(C$2:C42, historico_movimientos[[#This Row],[id_producto]],D$2:D42)</f>
        <v>15</v>
      </c>
    </row>
    <row r="43" spans="1:12" x14ac:dyDescent="0.25">
      <c r="A43" t="s">
        <v>279</v>
      </c>
      <c r="B43" t="s">
        <v>226</v>
      </c>
      <c r="C43" t="s">
        <v>204</v>
      </c>
      <c r="D43">
        <v>4</v>
      </c>
      <c r="E43" s="4">
        <v>45218</v>
      </c>
      <c r="F43" s="15">
        <v>0.33333333333333331</v>
      </c>
      <c r="G43" s="15">
        <v>0.33333333333333331</v>
      </c>
      <c r="H43" t="s">
        <v>193</v>
      </c>
      <c r="I43" t="s">
        <v>216</v>
      </c>
      <c r="J43" t="s">
        <v>218</v>
      </c>
      <c r="K43" s="21">
        <v>45317.6875</v>
      </c>
      <c r="L43">
        <f>SUMIF(C$2:C43, historico_movimientos[[#This Row],[id_producto]],D$2:D43)</f>
        <v>4</v>
      </c>
    </row>
    <row r="44" spans="1:12" x14ac:dyDescent="0.25">
      <c r="A44" t="s">
        <v>280</v>
      </c>
      <c r="B44" t="s">
        <v>226</v>
      </c>
      <c r="C44" t="s">
        <v>190</v>
      </c>
      <c r="D44">
        <v>69</v>
      </c>
      <c r="E44" s="4">
        <v>45218</v>
      </c>
      <c r="F44" s="15">
        <v>0.33333333333333331</v>
      </c>
      <c r="G44" s="15">
        <v>0.33333333333333331</v>
      </c>
      <c r="H44" t="s">
        <v>191</v>
      </c>
      <c r="I44" t="s">
        <v>216</v>
      </c>
      <c r="J44" t="s">
        <v>218</v>
      </c>
      <c r="K44" s="21">
        <v>45317.6875</v>
      </c>
      <c r="L44">
        <f>SUMIF(C$2:C44, historico_movimientos[[#This Row],[id_producto]],D$2:D44)</f>
        <v>69</v>
      </c>
    </row>
    <row r="45" spans="1:12" x14ac:dyDescent="0.25">
      <c r="A45" t="s">
        <v>281</v>
      </c>
      <c r="B45" t="s">
        <v>226</v>
      </c>
      <c r="C45" t="s">
        <v>203</v>
      </c>
      <c r="D45">
        <v>67</v>
      </c>
      <c r="E45" s="4">
        <v>45218</v>
      </c>
      <c r="F45" s="15">
        <v>0.33333333333333331</v>
      </c>
      <c r="G45" s="15">
        <v>0.33333333333333331</v>
      </c>
      <c r="H45" t="s">
        <v>192</v>
      </c>
      <c r="I45" t="s">
        <v>216</v>
      </c>
      <c r="J45" t="s">
        <v>218</v>
      </c>
      <c r="K45" s="21">
        <v>45317.6875</v>
      </c>
      <c r="L45">
        <f>SUMIF(C$2:C45, historico_movimientos[[#This Row],[id_producto]],D$2:D45)</f>
        <v>67</v>
      </c>
    </row>
    <row r="46" spans="1:12" x14ac:dyDescent="0.25">
      <c r="A46" t="s">
        <v>282</v>
      </c>
      <c r="B46" t="s">
        <v>226</v>
      </c>
      <c r="C46" t="s">
        <v>34</v>
      </c>
      <c r="D46">
        <v>12</v>
      </c>
      <c r="E46" s="4">
        <v>45218</v>
      </c>
      <c r="F46" s="15">
        <v>0.33333333333333331</v>
      </c>
      <c r="G46" s="15">
        <v>0.33333333333333331</v>
      </c>
      <c r="H46" t="s">
        <v>41</v>
      </c>
      <c r="I46" t="s">
        <v>372</v>
      </c>
      <c r="J46" t="s">
        <v>218</v>
      </c>
      <c r="K46" s="21">
        <v>45317.6875</v>
      </c>
      <c r="L46">
        <f>SUMIF(C$2:C46, historico_movimientos[[#This Row],[id_producto]],D$2:D46)</f>
        <v>12</v>
      </c>
    </row>
    <row r="47" spans="1:12" x14ac:dyDescent="0.25">
      <c r="A47" t="s">
        <v>283</v>
      </c>
      <c r="B47" t="s">
        <v>226</v>
      </c>
      <c r="C47" t="s">
        <v>35</v>
      </c>
      <c r="D47">
        <v>0</v>
      </c>
      <c r="E47" s="4">
        <v>45218</v>
      </c>
      <c r="F47" s="15">
        <v>0.33333333333333331</v>
      </c>
      <c r="G47" s="15">
        <v>0.33333333333333331</v>
      </c>
      <c r="H47" t="s">
        <v>42</v>
      </c>
      <c r="I47" t="s">
        <v>372</v>
      </c>
      <c r="J47" t="s">
        <v>218</v>
      </c>
      <c r="K47" s="21">
        <v>45317.6875</v>
      </c>
      <c r="L47">
        <f>SUMIF(C$2:C47, historico_movimientos[[#This Row],[id_producto]],D$2:D47)</f>
        <v>0</v>
      </c>
    </row>
    <row r="48" spans="1:12" x14ac:dyDescent="0.25">
      <c r="A48" t="s">
        <v>284</v>
      </c>
      <c r="B48" t="s">
        <v>226</v>
      </c>
      <c r="C48" t="s">
        <v>33</v>
      </c>
      <c r="D48">
        <v>14</v>
      </c>
      <c r="E48" s="4">
        <v>45218</v>
      </c>
      <c r="F48" s="15">
        <v>0.33333333333333331</v>
      </c>
      <c r="G48" s="15">
        <v>0.33333333333333331</v>
      </c>
      <c r="H48" t="s">
        <v>40</v>
      </c>
      <c r="I48" t="s">
        <v>372</v>
      </c>
      <c r="J48" t="s">
        <v>218</v>
      </c>
      <c r="K48" s="21">
        <v>45317.6875</v>
      </c>
      <c r="L48">
        <f>SUMIF(C$2:C48, historico_movimientos[[#This Row],[id_producto]],D$2:D48)</f>
        <v>14</v>
      </c>
    </row>
    <row r="49" spans="1:12" x14ac:dyDescent="0.25">
      <c r="A49" t="s">
        <v>285</v>
      </c>
      <c r="B49" t="s">
        <v>226</v>
      </c>
      <c r="C49" t="s">
        <v>31</v>
      </c>
      <c r="D49">
        <v>4</v>
      </c>
      <c r="E49" s="4">
        <v>45218</v>
      </c>
      <c r="F49" s="15">
        <v>0.33333333333333331</v>
      </c>
      <c r="G49" s="15">
        <v>0.33333333333333331</v>
      </c>
      <c r="H49" t="s">
        <v>38</v>
      </c>
      <c r="I49" t="s">
        <v>372</v>
      </c>
      <c r="J49" t="s">
        <v>218</v>
      </c>
      <c r="K49" s="21">
        <v>45317.6875</v>
      </c>
      <c r="L49">
        <f>SUMIF(C$2:C49, historico_movimientos[[#This Row],[id_producto]],D$2:D49)</f>
        <v>4</v>
      </c>
    </row>
    <row r="50" spans="1:12" x14ac:dyDescent="0.25">
      <c r="A50" t="s">
        <v>286</v>
      </c>
      <c r="B50" t="s">
        <v>226</v>
      </c>
      <c r="C50" t="s">
        <v>32</v>
      </c>
      <c r="D50">
        <v>21</v>
      </c>
      <c r="E50" s="4">
        <v>45218</v>
      </c>
      <c r="F50" s="15">
        <v>0.33333333333333331</v>
      </c>
      <c r="G50" s="15">
        <v>0.33333333333333331</v>
      </c>
      <c r="H50" t="s">
        <v>39</v>
      </c>
      <c r="I50" t="s">
        <v>372</v>
      </c>
      <c r="J50" t="s">
        <v>218</v>
      </c>
      <c r="K50" s="21">
        <v>45317.6875</v>
      </c>
      <c r="L50">
        <f>SUMIF(C$2:C50, historico_movimientos[[#This Row],[id_producto]],D$2:D50)</f>
        <v>21</v>
      </c>
    </row>
    <row r="51" spans="1:12" x14ac:dyDescent="0.25">
      <c r="A51" t="s">
        <v>287</v>
      </c>
      <c r="B51" t="s">
        <v>226</v>
      </c>
      <c r="C51" t="s">
        <v>44</v>
      </c>
      <c r="D51">
        <v>15</v>
      </c>
      <c r="E51" s="4">
        <v>45218</v>
      </c>
      <c r="F51" s="15">
        <v>0.33333333333333331</v>
      </c>
      <c r="G51" s="15">
        <v>0.33333333333333331</v>
      </c>
      <c r="H51" t="s">
        <v>52</v>
      </c>
      <c r="I51" t="s">
        <v>372</v>
      </c>
      <c r="J51" t="s">
        <v>218</v>
      </c>
      <c r="K51" s="21">
        <v>45317.6875</v>
      </c>
      <c r="L51">
        <f>SUMIF(C$2:C51, historico_movimientos[[#This Row],[id_producto]],D$2:D51)</f>
        <v>15</v>
      </c>
    </row>
    <row r="52" spans="1:12" x14ac:dyDescent="0.25">
      <c r="A52" t="s">
        <v>288</v>
      </c>
      <c r="B52" t="s">
        <v>226</v>
      </c>
      <c r="C52" t="s">
        <v>48</v>
      </c>
      <c r="D52">
        <v>14</v>
      </c>
      <c r="E52" s="4">
        <v>45218</v>
      </c>
      <c r="F52" s="15">
        <v>0.33333333333333331</v>
      </c>
      <c r="G52" s="15">
        <v>0.33333333333333331</v>
      </c>
      <c r="H52" t="s">
        <v>56</v>
      </c>
      <c r="I52" t="s">
        <v>372</v>
      </c>
      <c r="J52" t="s">
        <v>218</v>
      </c>
      <c r="K52" s="21">
        <v>45317.6875</v>
      </c>
      <c r="L52">
        <f>SUMIF(C$2:C52, historico_movimientos[[#This Row],[id_producto]],D$2:D52)</f>
        <v>14</v>
      </c>
    </row>
    <row r="53" spans="1:12" x14ac:dyDescent="0.25">
      <c r="A53" t="s">
        <v>289</v>
      </c>
      <c r="B53" t="s">
        <v>226</v>
      </c>
      <c r="C53" t="s">
        <v>49</v>
      </c>
      <c r="D53">
        <v>15</v>
      </c>
      <c r="E53" s="4">
        <v>45218</v>
      </c>
      <c r="F53" s="15">
        <v>0.33333333333333331</v>
      </c>
      <c r="G53" s="15">
        <v>0.33333333333333331</v>
      </c>
      <c r="H53" t="s">
        <v>57</v>
      </c>
      <c r="I53" t="s">
        <v>372</v>
      </c>
      <c r="J53" t="s">
        <v>218</v>
      </c>
      <c r="K53" s="21">
        <v>45317.6875</v>
      </c>
      <c r="L53">
        <f>SUMIF(C$2:C53, historico_movimientos[[#This Row],[id_producto]],D$2:D53)</f>
        <v>15</v>
      </c>
    </row>
    <row r="54" spans="1:12" x14ac:dyDescent="0.25">
      <c r="A54" t="s">
        <v>290</v>
      </c>
      <c r="B54" t="s">
        <v>226</v>
      </c>
      <c r="C54" t="s">
        <v>47</v>
      </c>
      <c r="D54">
        <v>15</v>
      </c>
      <c r="E54" s="4">
        <v>45218</v>
      </c>
      <c r="F54" s="15">
        <v>0.33333333333333331</v>
      </c>
      <c r="G54" s="15">
        <v>0.33333333333333331</v>
      </c>
      <c r="H54" t="s">
        <v>55</v>
      </c>
      <c r="I54" t="s">
        <v>372</v>
      </c>
      <c r="J54" t="s">
        <v>218</v>
      </c>
      <c r="K54" s="21">
        <v>45317.6875</v>
      </c>
      <c r="L54">
        <f>SUMIF(C$2:C54, historico_movimientos[[#This Row],[id_producto]],D$2:D54)</f>
        <v>15</v>
      </c>
    </row>
    <row r="55" spans="1:12" x14ac:dyDescent="0.25">
      <c r="A55" t="s">
        <v>291</v>
      </c>
      <c r="B55" t="s">
        <v>226</v>
      </c>
      <c r="C55" t="s">
        <v>45</v>
      </c>
      <c r="D55">
        <v>8</v>
      </c>
      <c r="E55" s="4">
        <v>45218</v>
      </c>
      <c r="F55" s="15">
        <v>0.33333333333333331</v>
      </c>
      <c r="G55" s="15">
        <v>0.33333333333333331</v>
      </c>
      <c r="H55" t="s">
        <v>53</v>
      </c>
      <c r="I55" t="s">
        <v>372</v>
      </c>
      <c r="J55" t="s">
        <v>218</v>
      </c>
      <c r="K55" s="21">
        <v>45317.6875</v>
      </c>
      <c r="L55">
        <f>SUMIF(C$2:C55, historico_movimientos[[#This Row],[id_producto]],D$2:D55)</f>
        <v>8</v>
      </c>
    </row>
    <row r="56" spans="1:12" x14ac:dyDescent="0.25">
      <c r="A56" t="s">
        <v>292</v>
      </c>
      <c r="B56" t="s">
        <v>226</v>
      </c>
      <c r="C56" t="s">
        <v>46</v>
      </c>
      <c r="D56">
        <v>46</v>
      </c>
      <c r="E56" s="4">
        <v>45218</v>
      </c>
      <c r="F56" s="15">
        <v>0.33333333333333331</v>
      </c>
      <c r="G56" s="15">
        <v>0.33333333333333331</v>
      </c>
      <c r="H56" t="s">
        <v>54</v>
      </c>
      <c r="I56" t="s">
        <v>372</v>
      </c>
      <c r="J56" t="s">
        <v>218</v>
      </c>
      <c r="K56" s="21">
        <v>45317.6875</v>
      </c>
      <c r="L56">
        <f>SUMIF(C$2:C56, historico_movimientos[[#This Row],[id_producto]],D$2:D56)</f>
        <v>46</v>
      </c>
    </row>
    <row r="57" spans="1:12" x14ac:dyDescent="0.25">
      <c r="A57" t="s">
        <v>293</v>
      </c>
      <c r="B57" t="s">
        <v>226</v>
      </c>
      <c r="C57" t="s">
        <v>15</v>
      </c>
      <c r="D57">
        <v>0</v>
      </c>
      <c r="E57" s="4">
        <v>45218</v>
      </c>
      <c r="F57" s="15">
        <v>0.33333333333333331</v>
      </c>
      <c r="G57" s="15">
        <v>0.33333333333333331</v>
      </c>
      <c r="H57" t="s">
        <v>14</v>
      </c>
      <c r="I57" t="s">
        <v>372</v>
      </c>
      <c r="J57" t="s">
        <v>218</v>
      </c>
      <c r="K57" s="21">
        <v>45317.6875</v>
      </c>
      <c r="L57">
        <f>SUMIF(C$2:C57, historico_movimientos[[#This Row],[id_producto]],D$2:D57)</f>
        <v>0</v>
      </c>
    </row>
    <row r="58" spans="1:12" x14ac:dyDescent="0.25">
      <c r="A58" t="s">
        <v>294</v>
      </c>
      <c r="B58" t="s">
        <v>226</v>
      </c>
      <c r="C58" t="s">
        <v>16</v>
      </c>
      <c r="D58">
        <v>32</v>
      </c>
      <c r="E58" s="4">
        <v>45218</v>
      </c>
      <c r="F58" s="15">
        <v>0.33333333333333331</v>
      </c>
      <c r="G58" s="15">
        <v>0.33333333333333331</v>
      </c>
      <c r="H58" t="s">
        <v>20</v>
      </c>
      <c r="I58" t="s">
        <v>372</v>
      </c>
      <c r="J58" t="s">
        <v>218</v>
      </c>
      <c r="K58" s="21">
        <v>45317.6875</v>
      </c>
      <c r="L58">
        <f>SUMIF(C$2:C58, historico_movimientos[[#This Row],[id_producto]],D$2:D58)</f>
        <v>32</v>
      </c>
    </row>
    <row r="59" spans="1:12" x14ac:dyDescent="0.25">
      <c r="A59" t="s">
        <v>295</v>
      </c>
      <c r="B59" t="s">
        <v>226</v>
      </c>
      <c r="C59" t="s">
        <v>13</v>
      </c>
      <c r="D59">
        <v>51</v>
      </c>
      <c r="E59" s="4">
        <v>45218</v>
      </c>
      <c r="F59" s="15">
        <v>0.33333333333333331</v>
      </c>
      <c r="G59" s="15">
        <v>0.33333333333333331</v>
      </c>
      <c r="H59" t="s">
        <v>12</v>
      </c>
      <c r="I59" t="s">
        <v>372</v>
      </c>
      <c r="J59" t="s">
        <v>218</v>
      </c>
      <c r="K59" s="21">
        <v>45317.6875</v>
      </c>
      <c r="L59">
        <f>SUMIF(C$2:C59, historico_movimientos[[#This Row],[id_producto]],D$2:D59)</f>
        <v>51</v>
      </c>
    </row>
    <row r="60" spans="1:12" x14ac:dyDescent="0.25">
      <c r="A60" t="s">
        <v>296</v>
      </c>
      <c r="B60" t="s">
        <v>226</v>
      </c>
      <c r="C60" t="s">
        <v>9</v>
      </c>
      <c r="D60">
        <v>99</v>
      </c>
      <c r="E60" s="4">
        <v>45218</v>
      </c>
      <c r="F60" s="15">
        <v>0.33333333333333331</v>
      </c>
      <c r="G60" s="15">
        <v>0.33333333333333331</v>
      </c>
      <c r="H60" t="s">
        <v>7</v>
      </c>
      <c r="I60" t="s">
        <v>372</v>
      </c>
      <c r="J60" t="s">
        <v>218</v>
      </c>
      <c r="K60" s="21">
        <v>45317.6875</v>
      </c>
      <c r="L60">
        <f>SUMIF(C$2:C60, historico_movimientos[[#This Row],[id_producto]],D$2:D60)</f>
        <v>99</v>
      </c>
    </row>
    <row r="61" spans="1:12" x14ac:dyDescent="0.25">
      <c r="A61" t="s">
        <v>297</v>
      </c>
      <c r="B61" t="s">
        <v>226</v>
      </c>
      <c r="C61" t="s">
        <v>11</v>
      </c>
      <c r="D61">
        <v>60</v>
      </c>
      <c r="E61" s="4">
        <v>45218</v>
      </c>
      <c r="F61" s="15">
        <v>0.33333333333333331</v>
      </c>
      <c r="G61" s="15">
        <v>0.33333333333333331</v>
      </c>
      <c r="H61" t="s">
        <v>10</v>
      </c>
      <c r="I61" t="s">
        <v>372</v>
      </c>
      <c r="J61" t="s">
        <v>218</v>
      </c>
      <c r="K61" s="21">
        <v>45317.6875</v>
      </c>
      <c r="L61">
        <f>SUMIF(C$2:C61, historico_movimientos[[#This Row],[id_producto]],D$2:D61)</f>
        <v>60</v>
      </c>
    </row>
    <row r="62" spans="1:12" x14ac:dyDescent="0.25">
      <c r="A62" t="s">
        <v>298</v>
      </c>
      <c r="B62" t="s">
        <v>226</v>
      </c>
      <c r="C62" t="s">
        <v>17</v>
      </c>
      <c r="D62">
        <v>10</v>
      </c>
      <c r="E62" s="4">
        <v>45218</v>
      </c>
      <c r="F62" s="15">
        <v>0.33333333333333331</v>
      </c>
      <c r="G62" s="15">
        <v>0.33333333333333331</v>
      </c>
      <c r="H62" t="s">
        <v>21</v>
      </c>
      <c r="I62" t="s">
        <v>372</v>
      </c>
      <c r="J62" t="s">
        <v>218</v>
      </c>
      <c r="K62" s="21">
        <v>45317.6875</v>
      </c>
      <c r="L62">
        <f>SUMIF(C$2:C62, historico_movimientos[[#This Row],[id_producto]],D$2:D62)</f>
        <v>10</v>
      </c>
    </row>
    <row r="63" spans="1:12" x14ac:dyDescent="0.25">
      <c r="A63" t="s">
        <v>299</v>
      </c>
      <c r="B63" t="s">
        <v>226</v>
      </c>
      <c r="C63" t="s">
        <v>29</v>
      </c>
      <c r="D63">
        <v>0</v>
      </c>
      <c r="E63" s="4">
        <v>45218</v>
      </c>
      <c r="F63" s="15">
        <v>0.33333333333333331</v>
      </c>
      <c r="G63" s="15">
        <v>0.33333333333333331</v>
      </c>
      <c r="H63" t="s">
        <v>36</v>
      </c>
      <c r="I63" t="s">
        <v>372</v>
      </c>
      <c r="J63" t="s">
        <v>218</v>
      </c>
      <c r="K63" s="21">
        <v>45317.6875</v>
      </c>
      <c r="L63">
        <f>SUMIF(C$2:C63, historico_movimientos[[#This Row],[id_producto]],D$2:D63)</f>
        <v>0</v>
      </c>
    </row>
    <row r="64" spans="1:12" x14ac:dyDescent="0.25">
      <c r="A64" t="s">
        <v>300</v>
      </c>
      <c r="B64" t="s">
        <v>226</v>
      </c>
      <c r="C64" t="s">
        <v>30</v>
      </c>
      <c r="D64">
        <v>35</v>
      </c>
      <c r="E64" s="4">
        <v>45218</v>
      </c>
      <c r="F64" s="15">
        <v>0.33333333333333331</v>
      </c>
      <c r="G64" s="15">
        <v>0.33333333333333331</v>
      </c>
      <c r="H64" t="s">
        <v>37</v>
      </c>
      <c r="I64" t="s">
        <v>372</v>
      </c>
      <c r="J64" t="s">
        <v>218</v>
      </c>
      <c r="K64" s="21">
        <v>45317.6875</v>
      </c>
      <c r="L64">
        <f>SUMIF(C$2:C64, historico_movimientos[[#This Row],[id_producto]],D$2:D64)</f>
        <v>35</v>
      </c>
    </row>
    <row r="65" spans="1:12" x14ac:dyDescent="0.25">
      <c r="A65" t="s">
        <v>301</v>
      </c>
      <c r="B65" t="s">
        <v>226</v>
      </c>
      <c r="C65" t="s">
        <v>27</v>
      </c>
      <c r="D65">
        <v>9</v>
      </c>
      <c r="E65" s="4">
        <v>45218</v>
      </c>
      <c r="F65" s="15">
        <v>0.33333333333333331</v>
      </c>
      <c r="G65" s="15">
        <v>0.33333333333333331</v>
      </c>
      <c r="H65" t="s">
        <v>28</v>
      </c>
      <c r="I65" t="s">
        <v>372</v>
      </c>
      <c r="J65" t="s">
        <v>218</v>
      </c>
      <c r="K65" s="21">
        <v>45317.6875</v>
      </c>
      <c r="L65">
        <f>SUMIF(C$2:C65, historico_movimientos[[#This Row],[id_producto]],D$2:D65)</f>
        <v>9</v>
      </c>
    </row>
    <row r="66" spans="1:12" x14ac:dyDescent="0.25">
      <c r="A66" t="s">
        <v>302</v>
      </c>
      <c r="B66" t="s">
        <v>226</v>
      </c>
      <c r="C66" t="s">
        <v>18</v>
      </c>
      <c r="D66">
        <v>17</v>
      </c>
      <c r="E66" s="4">
        <v>45218</v>
      </c>
      <c r="F66" s="15">
        <v>0.33333333333333331</v>
      </c>
      <c r="G66" s="15">
        <v>0.33333333333333331</v>
      </c>
      <c r="H66" t="s">
        <v>22</v>
      </c>
      <c r="I66" t="s">
        <v>372</v>
      </c>
      <c r="J66" t="s">
        <v>218</v>
      </c>
      <c r="K66" s="21">
        <v>45317.6875</v>
      </c>
      <c r="L66">
        <f>SUMIF(C$2:C66, historico_movimientos[[#This Row],[id_producto]],D$2:D66)</f>
        <v>17</v>
      </c>
    </row>
    <row r="67" spans="1:12" x14ac:dyDescent="0.25">
      <c r="A67" t="s">
        <v>303</v>
      </c>
      <c r="B67" t="s">
        <v>226</v>
      </c>
      <c r="C67" t="s">
        <v>19</v>
      </c>
      <c r="D67">
        <v>21</v>
      </c>
      <c r="E67" s="4">
        <v>45218</v>
      </c>
      <c r="F67" s="15">
        <v>0.33333333333333331</v>
      </c>
      <c r="G67" s="15">
        <v>0.33333333333333331</v>
      </c>
      <c r="H67" t="s">
        <v>23</v>
      </c>
      <c r="I67" t="s">
        <v>372</v>
      </c>
      <c r="J67" t="s">
        <v>218</v>
      </c>
      <c r="K67" s="21">
        <v>45317.6875</v>
      </c>
      <c r="L67">
        <f>SUMIF(C$2:C67, historico_movimientos[[#This Row],[id_producto]],D$2:D67)</f>
        <v>21</v>
      </c>
    </row>
    <row r="68" spans="1:12" x14ac:dyDescent="0.25">
      <c r="A68" t="s">
        <v>304</v>
      </c>
      <c r="B68" t="s">
        <v>226</v>
      </c>
      <c r="C68" t="s">
        <v>86</v>
      </c>
      <c r="D68">
        <v>37</v>
      </c>
      <c r="E68" s="4">
        <v>45218</v>
      </c>
      <c r="F68" s="15">
        <v>0.33333333333333331</v>
      </c>
      <c r="G68" s="15">
        <v>0.33333333333333331</v>
      </c>
      <c r="H68" t="s">
        <v>93</v>
      </c>
      <c r="I68" t="s">
        <v>372</v>
      </c>
      <c r="J68" t="s">
        <v>218</v>
      </c>
      <c r="K68" s="21">
        <v>45317.6875</v>
      </c>
      <c r="L68">
        <f>SUMIF(C$2:C68, historico_movimientos[[#This Row],[id_producto]],D$2:D68)</f>
        <v>37</v>
      </c>
    </row>
    <row r="69" spans="1:12" x14ac:dyDescent="0.25">
      <c r="A69" t="s">
        <v>305</v>
      </c>
      <c r="B69" t="s">
        <v>226</v>
      </c>
      <c r="C69" t="s">
        <v>96</v>
      </c>
      <c r="D69">
        <v>39</v>
      </c>
      <c r="E69" s="4">
        <v>45218</v>
      </c>
      <c r="F69" s="15">
        <v>0.33333333333333331</v>
      </c>
      <c r="G69" s="15">
        <v>0.33333333333333331</v>
      </c>
      <c r="H69" t="s">
        <v>73</v>
      </c>
      <c r="I69" t="s">
        <v>372</v>
      </c>
      <c r="J69" t="s">
        <v>218</v>
      </c>
      <c r="K69" s="21">
        <v>45317.6875</v>
      </c>
      <c r="L69">
        <f>SUMIF(C$2:C69, historico_movimientos[[#This Row],[id_producto]],D$2:D69)</f>
        <v>39</v>
      </c>
    </row>
    <row r="70" spans="1:12" x14ac:dyDescent="0.25">
      <c r="A70" t="s">
        <v>306</v>
      </c>
      <c r="B70" t="s">
        <v>226</v>
      </c>
      <c r="C70" t="s">
        <v>85</v>
      </c>
      <c r="D70">
        <v>16</v>
      </c>
      <c r="E70" s="4">
        <v>45218</v>
      </c>
      <c r="F70" s="15">
        <v>0.33333333333333331</v>
      </c>
      <c r="G70" s="15">
        <v>0.33333333333333331</v>
      </c>
      <c r="H70" t="s">
        <v>92</v>
      </c>
      <c r="I70" t="s">
        <v>372</v>
      </c>
      <c r="J70" t="s">
        <v>218</v>
      </c>
      <c r="K70" s="21">
        <v>45317.6875</v>
      </c>
      <c r="L70">
        <f>SUMIF(C$2:C70, historico_movimientos[[#This Row],[id_producto]],D$2:D70)</f>
        <v>16</v>
      </c>
    </row>
    <row r="71" spans="1:12" x14ac:dyDescent="0.25">
      <c r="A71" t="s">
        <v>307</v>
      </c>
      <c r="B71" t="s">
        <v>226</v>
      </c>
      <c r="C71" t="s">
        <v>83</v>
      </c>
      <c r="D71">
        <v>16</v>
      </c>
      <c r="E71" s="4">
        <v>45218</v>
      </c>
      <c r="F71" s="15">
        <v>0.33333333333333331</v>
      </c>
      <c r="G71" s="15">
        <v>0.33333333333333331</v>
      </c>
      <c r="H71" t="s">
        <v>90</v>
      </c>
      <c r="I71" t="s">
        <v>372</v>
      </c>
      <c r="J71" t="s">
        <v>218</v>
      </c>
      <c r="K71" s="21">
        <v>45317.6875</v>
      </c>
      <c r="L71">
        <f>SUMIF(C$2:C71, historico_movimientos[[#This Row],[id_producto]],D$2:D71)</f>
        <v>16</v>
      </c>
    </row>
    <row r="72" spans="1:12" x14ac:dyDescent="0.25">
      <c r="A72" t="s">
        <v>308</v>
      </c>
      <c r="B72" t="s">
        <v>226</v>
      </c>
      <c r="C72" t="s">
        <v>84</v>
      </c>
      <c r="D72">
        <v>39</v>
      </c>
      <c r="E72" s="4">
        <v>45218</v>
      </c>
      <c r="F72" s="15">
        <v>0.33333333333333331</v>
      </c>
      <c r="G72" s="15">
        <v>0.33333333333333331</v>
      </c>
      <c r="H72" t="s">
        <v>91</v>
      </c>
      <c r="I72" t="s">
        <v>372</v>
      </c>
      <c r="J72" t="s">
        <v>218</v>
      </c>
      <c r="K72" s="21">
        <v>45317.6875</v>
      </c>
      <c r="L72">
        <f>SUMIF(C$2:C72, historico_movimientos[[#This Row],[id_producto]],D$2:D72)</f>
        <v>39</v>
      </c>
    </row>
    <row r="73" spans="1:12" x14ac:dyDescent="0.25">
      <c r="A73" t="s">
        <v>309</v>
      </c>
      <c r="B73" t="s">
        <v>226</v>
      </c>
      <c r="C73" t="s">
        <v>97</v>
      </c>
      <c r="D73">
        <v>17</v>
      </c>
      <c r="E73" s="4">
        <v>45218</v>
      </c>
      <c r="F73" s="15">
        <v>0.33333333333333331</v>
      </c>
      <c r="G73" s="15">
        <v>0.33333333333333331</v>
      </c>
      <c r="H73" t="s">
        <v>76</v>
      </c>
      <c r="I73" t="s">
        <v>372</v>
      </c>
      <c r="J73" t="s">
        <v>218</v>
      </c>
      <c r="K73" s="21">
        <v>45317.6875</v>
      </c>
      <c r="L73">
        <f>SUMIF(C$2:C73, historico_movimientos[[#This Row],[id_producto]],D$2:D73)</f>
        <v>17</v>
      </c>
    </row>
    <row r="74" spans="1:12" x14ac:dyDescent="0.25">
      <c r="A74" t="s">
        <v>310</v>
      </c>
      <c r="B74" t="s">
        <v>226</v>
      </c>
      <c r="C74" t="s">
        <v>108</v>
      </c>
      <c r="D74">
        <v>73</v>
      </c>
      <c r="E74" s="4">
        <v>45218</v>
      </c>
      <c r="F74" s="15">
        <v>0.33333333333333331</v>
      </c>
      <c r="G74" s="15">
        <v>0.33333333333333331</v>
      </c>
      <c r="H74" t="s">
        <v>104</v>
      </c>
      <c r="I74" t="s">
        <v>372</v>
      </c>
      <c r="J74" t="s">
        <v>218</v>
      </c>
      <c r="K74" s="21">
        <v>45317.6875</v>
      </c>
      <c r="L74">
        <f>SUMIF(C$2:C74, historico_movimientos[[#This Row],[id_producto]],D$2:D74)</f>
        <v>73</v>
      </c>
    </row>
    <row r="75" spans="1:12" x14ac:dyDescent="0.25">
      <c r="A75" t="s">
        <v>311</v>
      </c>
      <c r="B75" t="s">
        <v>226</v>
      </c>
      <c r="C75" t="s">
        <v>109</v>
      </c>
      <c r="D75">
        <v>36</v>
      </c>
      <c r="E75" s="4">
        <v>45218</v>
      </c>
      <c r="F75" s="15">
        <v>0.33333333333333331</v>
      </c>
      <c r="G75" s="15">
        <v>0.33333333333333331</v>
      </c>
      <c r="H75" t="s">
        <v>105</v>
      </c>
      <c r="I75" t="s">
        <v>372</v>
      </c>
      <c r="J75" t="s">
        <v>218</v>
      </c>
      <c r="K75" s="21">
        <v>45317.6875</v>
      </c>
      <c r="L75">
        <f>SUMIF(C$2:C75, historico_movimientos[[#This Row],[id_producto]],D$2:D75)</f>
        <v>36</v>
      </c>
    </row>
    <row r="76" spans="1:12" x14ac:dyDescent="0.25">
      <c r="A76" t="s">
        <v>312</v>
      </c>
      <c r="B76" t="s">
        <v>226</v>
      </c>
      <c r="C76" t="s">
        <v>107</v>
      </c>
      <c r="D76">
        <v>67</v>
      </c>
      <c r="E76" s="4">
        <v>45218</v>
      </c>
      <c r="F76" s="15">
        <v>0.33333333333333331</v>
      </c>
      <c r="G76" s="15">
        <v>0.33333333333333331</v>
      </c>
      <c r="H76" t="s">
        <v>103</v>
      </c>
      <c r="I76" t="s">
        <v>372</v>
      </c>
      <c r="J76" t="s">
        <v>218</v>
      </c>
      <c r="K76" s="21">
        <v>45317.6875</v>
      </c>
      <c r="L76">
        <f>SUMIF(C$2:C76, historico_movimientos[[#This Row],[id_producto]],D$2:D76)</f>
        <v>67</v>
      </c>
    </row>
    <row r="77" spans="1:12" x14ac:dyDescent="0.25">
      <c r="A77" t="s">
        <v>313</v>
      </c>
      <c r="B77" t="s">
        <v>226</v>
      </c>
      <c r="C77" t="s">
        <v>98</v>
      </c>
      <c r="D77">
        <v>23</v>
      </c>
      <c r="E77" s="4">
        <v>45218</v>
      </c>
      <c r="F77" s="15">
        <v>0.33333333333333331</v>
      </c>
      <c r="G77" s="15">
        <v>0.33333333333333331</v>
      </c>
      <c r="H77" t="s">
        <v>77</v>
      </c>
      <c r="I77" t="s">
        <v>372</v>
      </c>
      <c r="J77" t="s">
        <v>218</v>
      </c>
      <c r="K77" s="21">
        <v>45317.6875</v>
      </c>
      <c r="L77">
        <f>SUMIF(C$2:C77, historico_movimientos[[#This Row],[id_producto]],D$2:D77)</f>
        <v>23</v>
      </c>
    </row>
    <row r="78" spans="1:12" x14ac:dyDescent="0.25">
      <c r="A78" t="s">
        <v>314</v>
      </c>
      <c r="B78" t="s">
        <v>226</v>
      </c>
      <c r="C78" t="s">
        <v>101</v>
      </c>
      <c r="D78">
        <v>24</v>
      </c>
      <c r="E78" s="4">
        <v>45218</v>
      </c>
      <c r="F78" s="15">
        <v>0.33333333333333331</v>
      </c>
      <c r="G78" s="15">
        <v>0.33333333333333331</v>
      </c>
      <c r="H78" t="s">
        <v>102</v>
      </c>
      <c r="I78" t="s">
        <v>372</v>
      </c>
      <c r="J78" t="s">
        <v>218</v>
      </c>
      <c r="K78" s="21">
        <v>45317.6875</v>
      </c>
      <c r="L78">
        <f>SUMIF(C$2:C78, historico_movimientos[[#This Row],[id_producto]],D$2:D78)</f>
        <v>24</v>
      </c>
    </row>
    <row r="79" spans="1:12" x14ac:dyDescent="0.25">
      <c r="A79" t="s">
        <v>315</v>
      </c>
      <c r="B79" t="s">
        <v>226</v>
      </c>
      <c r="C79" t="s">
        <v>63</v>
      </c>
      <c r="D79">
        <v>32</v>
      </c>
      <c r="E79" s="4">
        <v>45218</v>
      </c>
      <c r="F79" s="15">
        <v>0.33333333333333331</v>
      </c>
      <c r="G79" s="15">
        <v>0.33333333333333331</v>
      </c>
      <c r="H79" t="s">
        <v>70</v>
      </c>
      <c r="I79" t="s">
        <v>372</v>
      </c>
      <c r="J79" t="s">
        <v>218</v>
      </c>
      <c r="K79" s="21">
        <v>45317.6875</v>
      </c>
      <c r="L79">
        <f>SUMIF(C$2:C79, historico_movimientos[[#This Row],[id_producto]],D$2:D79)</f>
        <v>32</v>
      </c>
    </row>
    <row r="80" spans="1:12" x14ac:dyDescent="0.25">
      <c r="A80" t="s">
        <v>316</v>
      </c>
      <c r="B80" t="s">
        <v>226</v>
      </c>
      <c r="C80" t="s">
        <v>64</v>
      </c>
      <c r="D80">
        <v>30</v>
      </c>
      <c r="E80" s="4">
        <v>45218</v>
      </c>
      <c r="F80" s="15">
        <v>0.33333333333333331</v>
      </c>
      <c r="G80" s="15">
        <v>0.33333333333333331</v>
      </c>
      <c r="H80" t="s">
        <v>71</v>
      </c>
      <c r="I80" t="s">
        <v>372</v>
      </c>
      <c r="J80" t="s">
        <v>218</v>
      </c>
      <c r="K80" s="21">
        <v>45317.6875</v>
      </c>
      <c r="L80">
        <f>SUMIF(C$2:C80, historico_movimientos[[#This Row],[id_producto]],D$2:D80)</f>
        <v>30</v>
      </c>
    </row>
    <row r="81" spans="1:13" x14ac:dyDescent="0.25">
      <c r="A81" t="s">
        <v>317</v>
      </c>
      <c r="B81" t="s">
        <v>226</v>
      </c>
      <c r="C81" t="s">
        <v>62</v>
      </c>
      <c r="D81">
        <v>26</v>
      </c>
      <c r="E81" s="4">
        <v>45218</v>
      </c>
      <c r="F81" s="15">
        <v>0.33333333333333331</v>
      </c>
      <c r="G81" s="15">
        <v>0.33333333333333331</v>
      </c>
      <c r="H81" t="s">
        <v>69</v>
      </c>
      <c r="I81" t="s">
        <v>372</v>
      </c>
      <c r="J81" t="s">
        <v>218</v>
      </c>
      <c r="K81" s="21">
        <v>45317.6875</v>
      </c>
      <c r="L81">
        <f>SUMIF(C$2:C81, historico_movimientos[[#This Row],[id_producto]],D$2:D81)</f>
        <v>26</v>
      </c>
    </row>
    <row r="82" spans="1:13" x14ac:dyDescent="0.25">
      <c r="A82" t="s">
        <v>318</v>
      </c>
      <c r="B82" t="s">
        <v>226</v>
      </c>
      <c r="C82" t="s">
        <v>50</v>
      </c>
      <c r="D82">
        <v>13</v>
      </c>
      <c r="E82" s="4">
        <v>45218</v>
      </c>
      <c r="F82" s="15">
        <v>0.33333333333333331</v>
      </c>
      <c r="G82" s="15">
        <v>0.33333333333333331</v>
      </c>
      <c r="H82" t="s">
        <v>58</v>
      </c>
      <c r="I82" t="s">
        <v>372</v>
      </c>
      <c r="J82" t="s">
        <v>218</v>
      </c>
      <c r="K82" s="21">
        <v>45317.6875</v>
      </c>
      <c r="L82">
        <f>SUMIF(C$2:C82, historico_movimientos[[#This Row],[id_producto]],D$2:D82)</f>
        <v>13</v>
      </c>
    </row>
    <row r="83" spans="1:13" x14ac:dyDescent="0.25">
      <c r="A83" t="s">
        <v>319</v>
      </c>
      <c r="B83" t="s">
        <v>226</v>
      </c>
      <c r="C83" t="s">
        <v>61</v>
      </c>
      <c r="D83">
        <v>126</v>
      </c>
      <c r="E83" s="4">
        <v>45218</v>
      </c>
      <c r="F83" s="15">
        <v>0.33333333333333331</v>
      </c>
      <c r="G83" s="15">
        <v>0.33333333333333331</v>
      </c>
      <c r="H83" t="s">
        <v>68</v>
      </c>
      <c r="I83" t="s">
        <v>372</v>
      </c>
      <c r="J83" t="s">
        <v>218</v>
      </c>
      <c r="K83" s="21">
        <v>45317.6875</v>
      </c>
      <c r="L83">
        <f>SUMIF(C$2:C83, historico_movimientos[[#This Row],[id_producto]],D$2:D83)</f>
        <v>126</v>
      </c>
    </row>
    <row r="84" spans="1:13" x14ac:dyDescent="0.25">
      <c r="A84" t="s">
        <v>320</v>
      </c>
      <c r="B84" t="s">
        <v>226</v>
      </c>
      <c r="C84" t="s">
        <v>65</v>
      </c>
      <c r="D84">
        <v>28</v>
      </c>
      <c r="E84" s="4">
        <v>45218</v>
      </c>
      <c r="F84" s="15">
        <v>0.33333333333333331</v>
      </c>
      <c r="G84" s="15">
        <v>0.33333333333333331</v>
      </c>
      <c r="H84" t="s">
        <v>75</v>
      </c>
      <c r="I84" t="s">
        <v>372</v>
      </c>
      <c r="J84" t="s">
        <v>218</v>
      </c>
      <c r="K84" s="21">
        <v>45317.6875</v>
      </c>
      <c r="L84">
        <f>SUMIF(C$2:C84, historico_movimientos[[#This Row],[id_producto]],D$2:D84)</f>
        <v>28</v>
      </c>
    </row>
    <row r="85" spans="1:13" x14ac:dyDescent="0.25">
      <c r="A85" t="s">
        <v>321</v>
      </c>
      <c r="B85" t="s">
        <v>226</v>
      </c>
      <c r="C85" t="s">
        <v>81</v>
      </c>
      <c r="D85">
        <v>16</v>
      </c>
      <c r="E85" s="4">
        <v>45218</v>
      </c>
      <c r="F85" s="15">
        <v>0.33333333333333331</v>
      </c>
      <c r="G85" s="15">
        <v>0.33333333333333331</v>
      </c>
      <c r="H85" t="s">
        <v>88</v>
      </c>
      <c r="I85" t="s">
        <v>372</v>
      </c>
      <c r="J85" t="s">
        <v>218</v>
      </c>
      <c r="K85" s="21">
        <v>45317.6875</v>
      </c>
      <c r="L85">
        <f>SUMIF(C$2:C85, historico_movimientos[[#This Row],[id_producto]],D$2:D85)</f>
        <v>16</v>
      </c>
    </row>
    <row r="86" spans="1:13" x14ac:dyDescent="0.25">
      <c r="A86" t="s">
        <v>322</v>
      </c>
      <c r="B86" t="s">
        <v>226</v>
      </c>
      <c r="C86" t="s">
        <v>82</v>
      </c>
      <c r="D86">
        <v>39</v>
      </c>
      <c r="E86" s="4">
        <v>45218</v>
      </c>
      <c r="F86" s="15">
        <v>0.33333333333333331</v>
      </c>
      <c r="G86" s="15">
        <v>0.33333333333333331</v>
      </c>
      <c r="H86" t="s">
        <v>89</v>
      </c>
      <c r="I86" t="s">
        <v>372</v>
      </c>
      <c r="J86" t="s">
        <v>218</v>
      </c>
      <c r="K86" s="21">
        <v>45317.6875</v>
      </c>
      <c r="L86">
        <f>SUMIF(C$2:C86, historico_movimientos[[#This Row],[id_producto]],D$2:D86)</f>
        <v>39</v>
      </c>
    </row>
    <row r="87" spans="1:13" x14ac:dyDescent="0.25">
      <c r="A87" t="s">
        <v>323</v>
      </c>
      <c r="B87" t="s">
        <v>226</v>
      </c>
      <c r="C87" t="s">
        <v>80</v>
      </c>
      <c r="D87">
        <v>127</v>
      </c>
      <c r="E87" s="4">
        <v>45218</v>
      </c>
      <c r="F87" s="15">
        <v>0.33333333333333331</v>
      </c>
      <c r="G87" s="15">
        <v>0.33333333333333331</v>
      </c>
      <c r="H87" t="s">
        <v>87</v>
      </c>
      <c r="I87" t="s">
        <v>372</v>
      </c>
      <c r="J87" t="s">
        <v>218</v>
      </c>
      <c r="K87" s="21">
        <v>45317.6875</v>
      </c>
      <c r="L87">
        <f>SUMIF(C$2:C87, historico_movimientos[[#This Row],[id_producto]],D$2:D87)</f>
        <v>127</v>
      </c>
    </row>
    <row r="88" spans="1:13" x14ac:dyDescent="0.25">
      <c r="A88" t="s">
        <v>324</v>
      </c>
      <c r="B88" t="s">
        <v>226</v>
      </c>
      <c r="C88" t="s">
        <v>66</v>
      </c>
      <c r="D88">
        <v>19</v>
      </c>
      <c r="E88" s="4">
        <v>45218</v>
      </c>
      <c r="F88" s="15">
        <v>0.33333333333333331</v>
      </c>
      <c r="G88" s="15">
        <v>0.33333333333333331</v>
      </c>
      <c r="H88" t="s">
        <v>74</v>
      </c>
      <c r="I88" t="s">
        <v>372</v>
      </c>
      <c r="J88" t="s">
        <v>218</v>
      </c>
      <c r="K88" s="21">
        <v>45317.6875</v>
      </c>
      <c r="L88">
        <f>SUMIF(C$2:C88, historico_movimientos[[#This Row],[id_producto]],D$2:D88)</f>
        <v>19</v>
      </c>
    </row>
    <row r="89" spans="1:13" x14ac:dyDescent="0.25">
      <c r="A89" t="s">
        <v>325</v>
      </c>
      <c r="B89" t="s">
        <v>226</v>
      </c>
      <c r="C89" t="s">
        <v>67</v>
      </c>
      <c r="D89">
        <v>4</v>
      </c>
      <c r="E89" s="4">
        <v>45218</v>
      </c>
      <c r="F89" s="15">
        <v>0.33333333333333331</v>
      </c>
      <c r="G89" s="15">
        <v>0.33333333333333331</v>
      </c>
      <c r="H89" t="s">
        <v>78</v>
      </c>
      <c r="I89" t="s">
        <v>372</v>
      </c>
      <c r="J89" t="s">
        <v>218</v>
      </c>
      <c r="K89" s="21">
        <v>45317.6875</v>
      </c>
      <c r="L89">
        <f>SUMIF(C$2:C89, historico_movimientos[[#This Row],[id_producto]],D$2:D89)</f>
        <v>4</v>
      </c>
    </row>
    <row r="90" spans="1:13" x14ac:dyDescent="0.25">
      <c r="A90" t="s">
        <v>233</v>
      </c>
      <c r="B90" t="s">
        <v>227</v>
      </c>
      <c r="C90" t="s">
        <v>9</v>
      </c>
      <c r="D90">
        <v>-3</v>
      </c>
      <c r="E90" s="4">
        <v>45219</v>
      </c>
      <c r="F90" s="15">
        <v>0.33333333333333331</v>
      </c>
      <c r="G90" s="15">
        <v>0.33333333333333331</v>
      </c>
      <c r="H90" t="s">
        <v>7</v>
      </c>
      <c r="I90" t="s">
        <v>372</v>
      </c>
      <c r="J90" t="s">
        <v>224</v>
      </c>
      <c r="K90" s="21">
        <v>45317.693055555559</v>
      </c>
      <c r="L90">
        <f>SUMIF(C$2:C90, historico_movimientos[[#This Row],[id_producto]],D$2:D90)</f>
        <v>96</v>
      </c>
    </row>
    <row r="91" spans="1:13" x14ac:dyDescent="0.25">
      <c r="A91" t="s">
        <v>234</v>
      </c>
      <c r="B91" t="s">
        <v>227</v>
      </c>
      <c r="C91" t="s">
        <v>9</v>
      </c>
      <c r="D91">
        <v>-60</v>
      </c>
      <c r="E91" s="4">
        <v>45224</v>
      </c>
      <c r="F91" s="15">
        <v>0.33333333333333331</v>
      </c>
      <c r="G91" s="15">
        <v>0.33333333333333331</v>
      </c>
      <c r="H91" t="s">
        <v>7</v>
      </c>
      <c r="I91" t="s">
        <v>372</v>
      </c>
      <c r="J91" t="s">
        <v>224</v>
      </c>
      <c r="K91" s="21">
        <v>45317.693055555559</v>
      </c>
      <c r="L91">
        <f>SUMIF(C$2:C91, historico_movimientos[[#This Row],[id_producto]],D$2:D91)</f>
        <v>36</v>
      </c>
      <c r="M91" s="4"/>
    </row>
    <row r="92" spans="1:13" x14ac:dyDescent="0.25">
      <c r="A92" t="s">
        <v>235</v>
      </c>
      <c r="B92" t="s">
        <v>227</v>
      </c>
      <c r="C92" t="s">
        <v>9</v>
      </c>
      <c r="D92">
        <v>-2</v>
      </c>
      <c r="E92" s="4">
        <v>45224</v>
      </c>
      <c r="F92" s="15">
        <v>0.33333333333333331</v>
      </c>
      <c r="G92" s="15">
        <v>0.33333333333333331</v>
      </c>
      <c r="H92" t="s">
        <v>7</v>
      </c>
      <c r="I92" t="s">
        <v>372</v>
      </c>
      <c r="J92" t="s">
        <v>224</v>
      </c>
      <c r="K92" s="21">
        <v>45317.693055555559</v>
      </c>
      <c r="L92">
        <f>SUMIF(C$2:C92, historico_movimientos[[#This Row],[id_producto]],D$2:D92)</f>
        <v>34</v>
      </c>
    </row>
    <row r="93" spans="1:13" x14ac:dyDescent="0.25">
      <c r="A93" t="s">
        <v>326</v>
      </c>
      <c r="B93" t="s">
        <v>227</v>
      </c>
      <c r="C93" t="s">
        <v>11</v>
      </c>
      <c r="D93">
        <v>-20</v>
      </c>
      <c r="E93" s="4">
        <v>45255</v>
      </c>
      <c r="F93" s="15">
        <v>0.33333333333333331</v>
      </c>
      <c r="G93" s="15">
        <v>0.33333333333333331</v>
      </c>
      <c r="H93" t="s">
        <v>7</v>
      </c>
      <c r="I93" t="s">
        <v>372</v>
      </c>
      <c r="J93" t="s">
        <v>224</v>
      </c>
      <c r="K93" s="21">
        <v>45317.698611111111</v>
      </c>
      <c r="L93">
        <f>SUMIF(C$2:C93, historico_movimientos[[#This Row],[id_producto]],D$2:D93)</f>
        <v>40</v>
      </c>
    </row>
    <row r="94" spans="1:13" x14ac:dyDescent="0.25">
      <c r="A94" t="s">
        <v>236</v>
      </c>
      <c r="B94" t="s">
        <v>227</v>
      </c>
      <c r="C94" t="s">
        <v>9</v>
      </c>
      <c r="D94">
        <v>-5</v>
      </c>
      <c r="E94" s="4">
        <v>45255</v>
      </c>
      <c r="F94" s="15">
        <v>0.33333333333333331</v>
      </c>
      <c r="G94" s="15">
        <v>0.33333333333333331</v>
      </c>
      <c r="H94" t="s">
        <v>7</v>
      </c>
      <c r="I94" t="s">
        <v>372</v>
      </c>
      <c r="J94" t="s">
        <v>224</v>
      </c>
      <c r="K94" s="21">
        <v>45317.693055555559</v>
      </c>
      <c r="L94">
        <f>SUMIF(C$2:C94, historico_movimientos[[#This Row],[id_producto]],D$2:D94)</f>
        <v>29</v>
      </c>
    </row>
    <row r="95" spans="1:13" x14ac:dyDescent="0.25">
      <c r="A95" t="s">
        <v>237</v>
      </c>
      <c r="B95" t="s">
        <v>227</v>
      </c>
      <c r="C95" t="s">
        <v>11</v>
      </c>
      <c r="D95">
        <v>-3</v>
      </c>
      <c r="E95" s="4">
        <v>45302</v>
      </c>
      <c r="F95" s="15">
        <v>0.33333333333333331</v>
      </c>
      <c r="G95" s="15">
        <v>0.33333333333333331</v>
      </c>
      <c r="H95" t="s">
        <v>10</v>
      </c>
      <c r="I95" t="s">
        <v>372</v>
      </c>
      <c r="J95" t="s">
        <v>224</v>
      </c>
      <c r="K95" s="21">
        <v>45317.698611111111</v>
      </c>
      <c r="L95">
        <f>SUMIF(C$2:C95, historico_movimientos[[#This Row],[id_producto]],D$2:D95)</f>
        <v>37</v>
      </c>
    </row>
    <row r="96" spans="1:13" x14ac:dyDescent="0.25">
      <c r="A96" t="s">
        <v>327</v>
      </c>
      <c r="B96" t="s">
        <v>227</v>
      </c>
      <c r="C96" t="s">
        <v>9</v>
      </c>
      <c r="D96">
        <v>-5</v>
      </c>
      <c r="E96" s="4">
        <v>45302</v>
      </c>
      <c r="F96" s="15">
        <v>0.33333333333333331</v>
      </c>
      <c r="G96" s="15">
        <v>0.33333333333333331</v>
      </c>
      <c r="H96" t="s">
        <v>7</v>
      </c>
      <c r="I96" t="s">
        <v>372</v>
      </c>
      <c r="J96" t="s">
        <v>224</v>
      </c>
      <c r="K96" s="21">
        <v>45317.693055555559</v>
      </c>
      <c r="L96">
        <f>SUMIF(C$2:C96, historico_movimientos[[#This Row],[id_producto]],D$2:D96)</f>
        <v>24</v>
      </c>
    </row>
    <row r="97" spans="1:12" x14ac:dyDescent="0.25">
      <c r="A97" t="s">
        <v>438</v>
      </c>
      <c r="B97" t="s">
        <v>227</v>
      </c>
      <c r="C97" t="s">
        <v>18</v>
      </c>
      <c r="D97">
        <v>-2</v>
      </c>
      <c r="E97" s="4">
        <v>45329</v>
      </c>
      <c r="F97" s="15">
        <v>0.5031944444444445</v>
      </c>
      <c r="G97" s="15">
        <v>0.5</v>
      </c>
      <c r="H97" t="s">
        <v>22</v>
      </c>
      <c r="I97" t="s">
        <v>372</v>
      </c>
      <c r="J97" t="s">
        <v>224</v>
      </c>
      <c r="K97" s="21">
        <v>45329.503194444442</v>
      </c>
      <c r="L97">
        <f>SUMIF(C$2:C97, historico_movimientos[[#This Row],[id_producto]],D$2:D97)</f>
        <v>15</v>
      </c>
    </row>
    <row r="98" spans="1:12" x14ac:dyDescent="0.25">
      <c r="A98" t="s">
        <v>439</v>
      </c>
      <c r="B98" t="s">
        <v>227</v>
      </c>
      <c r="C98" t="s">
        <v>18</v>
      </c>
      <c r="D98">
        <v>-60</v>
      </c>
      <c r="E98" s="4">
        <v>45329</v>
      </c>
      <c r="F98" s="15">
        <v>0.50603009259259257</v>
      </c>
      <c r="G98" s="15">
        <v>0.5</v>
      </c>
      <c r="H98" t="s">
        <v>22</v>
      </c>
      <c r="I98" t="s">
        <v>372</v>
      </c>
      <c r="J98" t="s">
        <v>224</v>
      </c>
      <c r="K98" s="21">
        <v>45329.506030092591</v>
      </c>
      <c r="L98">
        <f>SUMIF(C$2:C98, historico_movimientos[[#This Row],[id_producto]],D$2:D98)</f>
        <v>-45</v>
      </c>
    </row>
    <row r="99" spans="1:12" x14ac:dyDescent="0.25">
      <c r="A99" t="s">
        <v>440</v>
      </c>
      <c r="B99" t="s">
        <v>227</v>
      </c>
      <c r="C99" t="s">
        <v>11</v>
      </c>
      <c r="D99">
        <v>-2</v>
      </c>
      <c r="E99" s="4">
        <v>45357</v>
      </c>
      <c r="F99" s="15">
        <v>0.65482638888888889</v>
      </c>
      <c r="G99" s="15">
        <v>0.625</v>
      </c>
      <c r="H99" t="s">
        <v>10</v>
      </c>
      <c r="I99" t="s">
        <v>372</v>
      </c>
      <c r="J99" t="s">
        <v>418</v>
      </c>
      <c r="K99" s="21">
        <v>45357.654826388891</v>
      </c>
      <c r="L99">
        <f>SUMIF(C$2:C99, historico_movimientos[[#This Row],[id_producto]],D$2:D99)</f>
        <v>35</v>
      </c>
    </row>
    <row r="100" spans="1:12" x14ac:dyDescent="0.25">
      <c r="A100" t="s">
        <v>441</v>
      </c>
      <c r="B100" t="s">
        <v>227</v>
      </c>
      <c r="C100" t="s">
        <v>9</v>
      </c>
      <c r="D100">
        <v>-3</v>
      </c>
      <c r="E100" s="4">
        <v>45357</v>
      </c>
      <c r="F100" s="15">
        <v>0.65482638888888889</v>
      </c>
      <c r="G100" s="15">
        <v>0.625</v>
      </c>
      <c r="H100" t="s">
        <v>7</v>
      </c>
      <c r="I100" t="s">
        <v>372</v>
      </c>
      <c r="J100" t="s">
        <v>417</v>
      </c>
      <c r="K100" s="21">
        <v>45357.654826388891</v>
      </c>
      <c r="L100">
        <f>SUMIF(C$2:C100, historico_movimientos[[#This Row],[id_producto]],D$2:D100)</f>
        <v>21</v>
      </c>
    </row>
    <row r="101" spans="1:12" x14ac:dyDescent="0.25">
      <c r="A101" t="s">
        <v>442</v>
      </c>
      <c r="B101" t="s">
        <v>227</v>
      </c>
      <c r="C101" t="s">
        <v>164</v>
      </c>
      <c r="D101">
        <v>-5</v>
      </c>
      <c r="E101" s="4">
        <v>45357</v>
      </c>
      <c r="F101" s="15">
        <v>0.71976851851851853</v>
      </c>
      <c r="G101" s="15">
        <v>0.70833333333333337</v>
      </c>
      <c r="H101" t="s">
        <v>165</v>
      </c>
      <c r="I101" t="s">
        <v>132</v>
      </c>
      <c r="K101" s="21">
        <v>45357.719768518517</v>
      </c>
      <c r="L101">
        <f>SUMIF(C$2:C101, historico_movimientos[[#This Row],[id_producto]],D$2:D101)</f>
        <v>62</v>
      </c>
    </row>
    <row r="102" spans="1:12" x14ac:dyDescent="0.25">
      <c r="A102" t="s">
        <v>443</v>
      </c>
      <c r="B102" t="s">
        <v>227</v>
      </c>
      <c r="C102" t="s">
        <v>210</v>
      </c>
      <c r="D102">
        <v>-20</v>
      </c>
      <c r="E102" s="4">
        <v>45357</v>
      </c>
      <c r="F102" s="15">
        <v>0.71976851851851853</v>
      </c>
      <c r="G102" s="15">
        <v>0.70833333333333337</v>
      </c>
      <c r="H102" t="s">
        <v>199</v>
      </c>
      <c r="I102" t="s">
        <v>216</v>
      </c>
      <c r="K102" s="21">
        <v>45357.719768518517</v>
      </c>
      <c r="L102">
        <f>SUMIF(C$2:C102, historico_movimientos[[#This Row],[id_producto]],D$2:D102)</f>
        <v>-10</v>
      </c>
    </row>
    <row r="103" spans="1:12" x14ac:dyDescent="0.25">
      <c r="A103" t="s">
        <v>444</v>
      </c>
      <c r="B103" t="s">
        <v>227</v>
      </c>
      <c r="C103" t="s">
        <v>134</v>
      </c>
      <c r="D103">
        <v>-60</v>
      </c>
      <c r="E103" s="4">
        <v>45357</v>
      </c>
      <c r="F103" s="15">
        <v>0.71976851851851853</v>
      </c>
      <c r="G103" s="15">
        <v>0.70833333333333337</v>
      </c>
      <c r="H103" t="s">
        <v>128</v>
      </c>
      <c r="I103" t="s">
        <v>127</v>
      </c>
      <c r="K103" s="21">
        <v>45357.719768518517</v>
      </c>
      <c r="L103">
        <f>SUMIF(C$2:C103, historico_movimientos[[#This Row],[id_producto]],D$2:D103)</f>
        <v>-59</v>
      </c>
    </row>
    <row r="104" spans="1:12" x14ac:dyDescent="0.25">
      <c r="A104" t="s">
        <v>445</v>
      </c>
      <c r="B104" t="s">
        <v>227</v>
      </c>
      <c r="C104" t="s">
        <v>120</v>
      </c>
      <c r="D104">
        <v>-5</v>
      </c>
      <c r="E104" s="4">
        <v>45357</v>
      </c>
      <c r="F104" s="15">
        <v>0.71976851851851853</v>
      </c>
      <c r="G104" s="15">
        <v>0.70833333333333337</v>
      </c>
      <c r="H104" t="s">
        <v>117</v>
      </c>
      <c r="I104" t="s">
        <v>111</v>
      </c>
      <c r="K104" s="21">
        <v>45357.719768518517</v>
      </c>
      <c r="L104">
        <f>SUMIF(C$2:C104, historico_movimientos[[#This Row],[id_producto]],D$2:D104)</f>
        <v>2</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C13" sqref="C13"/>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332</v>
      </c>
      <c r="B1" t="s">
        <v>373</v>
      </c>
      <c r="C1" t="s">
        <v>334</v>
      </c>
      <c r="D1" t="s">
        <v>333</v>
      </c>
    </row>
    <row r="2" spans="1:4" x14ac:dyDescent="0.25">
      <c r="A2" t="s">
        <v>9</v>
      </c>
      <c r="B2" t="s">
        <v>372</v>
      </c>
      <c r="C2" t="s">
        <v>7</v>
      </c>
      <c r="D2">
        <v>21</v>
      </c>
    </row>
    <row r="3" spans="1:4" x14ac:dyDescent="0.25">
      <c r="A3" t="s">
        <v>11</v>
      </c>
      <c r="B3" t="s">
        <v>372</v>
      </c>
      <c r="C3" t="s">
        <v>10</v>
      </c>
      <c r="D3">
        <v>55</v>
      </c>
    </row>
    <row r="4" spans="1:4" x14ac:dyDescent="0.25">
      <c r="A4" t="s">
        <v>11</v>
      </c>
      <c r="B4" t="s">
        <v>372</v>
      </c>
      <c r="C4" t="s">
        <v>7</v>
      </c>
      <c r="D4">
        <v>-20</v>
      </c>
    </row>
    <row r="5" spans="1:4" x14ac:dyDescent="0.25">
      <c r="A5" t="s">
        <v>13</v>
      </c>
      <c r="B5" t="s">
        <v>372</v>
      </c>
      <c r="C5" t="s">
        <v>12</v>
      </c>
      <c r="D5">
        <v>51</v>
      </c>
    </row>
    <row r="6" spans="1:4" x14ac:dyDescent="0.25">
      <c r="A6" t="s">
        <v>15</v>
      </c>
      <c r="B6" t="s">
        <v>372</v>
      </c>
      <c r="C6" t="s">
        <v>14</v>
      </c>
      <c r="D6">
        <v>0</v>
      </c>
    </row>
    <row r="7" spans="1:4" x14ac:dyDescent="0.25">
      <c r="A7" t="s">
        <v>16</v>
      </c>
      <c r="B7" t="s">
        <v>372</v>
      </c>
      <c r="C7" t="s">
        <v>20</v>
      </c>
      <c r="D7">
        <v>32</v>
      </c>
    </row>
    <row r="8" spans="1:4" x14ac:dyDescent="0.25">
      <c r="A8" t="s">
        <v>17</v>
      </c>
      <c r="B8" t="s">
        <v>372</v>
      </c>
      <c r="C8" t="s">
        <v>21</v>
      </c>
      <c r="D8">
        <v>10</v>
      </c>
    </row>
    <row r="9" spans="1:4" x14ac:dyDescent="0.25">
      <c r="A9" t="s">
        <v>18</v>
      </c>
      <c r="B9" t="s">
        <v>372</v>
      </c>
      <c r="C9" t="s">
        <v>22</v>
      </c>
      <c r="D9">
        <v>-45</v>
      </c>
    </row>
    <row r="10" spans="1:4" x14ac:dyDescent="0.25">
      <c r="A10" t="s">
        <v>19</v>
      </c>
      <c r="B10" t="s">
        <v>372</v>
      </c>
      <c r="C10" t="s">
        <v>23</v>
      </c>
      <c r="D10">
        <v>21</v>
      </c>
    </row>
    <row r="11" spans="1:4" x14ac:dyDescent="0.25">
      <c r="A11" t="s">
        <v>27</v>
      </c>
      <c r="B11" t="s">
        <v>372</v>
      </c>
      <c r="C11" t="s">
        <v>28</v>
      </c>
      <c r="D11">
        <v>9</v>
      </c>
    </row>
    <row r="12" spans="1:4" x14ac:dyDescent="0.25">
      <c r="A12" t="s">
        <v>29</v>
      </c>
      <c r="B12" t="s">
        <v>372</v>
      </c>
      <c r="C12" t="s">
        <v>36</v>
      </c>
      <c r="D12">
        <v>0</v>
      </c>
    </row>
    <row r="13" spans="1:4" x14ac:dyDescent="0.25">
      <c r="A13" t="s">
        <v>30</v>
      </c>
      <c r="B13" t="s">
        <v>372</v>
      </c>
      <c r="C13" t="s">
        <v>37</v>
      </c>
      <c r="D13">
        <v>35</v>
      </c>
    </row>
    <row r="14" spans="1:4" x14ac:dyDescent="0.25">
      <c r="A14" t="s">
        <v>31</v>
      </c>
      <c r="B14" t="s">
        <v>372</v>
      </c>
      <c r="C14" t="s">
        <v>38</v>
      </c>
      <c r="D14">
        <v>4</v>
      </c>
    </row>
    <row r="15" spans="1:4" x14ac:dyDescent="0.25">
      <c r="A15" t="s">
        <v>32</v>
      </c>
      <c r="B15" t="s">
        <v>372</v>
      </c>
      <c r="C15" t="s">
        <v>39</v>
      </c>
      <c r="D15">
        <v>21</v>
      </c>
    </row>
    <row r="16" spans="1:4" x14ac:dyDescent="0.25">
      <c r="A16" t="s">
        <v>33</v>
      </c>
      <c r="B16" t="s">
        <v>372</v>
      </c>
      <c r="C16" t="s">
        <v>40</v>
      </c>
      <c r="D16">
        <v>14</v>
      </c>
    </row>
    <row r="17" spans="1:4" x14ac:dyDescent="0.25">
      <c r="A17" t="s">
        <v>34</v>
      </c>
      <c r="B17" t="s">
        <v>372</v>
      </c>
      <c r="C17" t="s">
        <v>41</v>
      </c>
      <c r="D17">
        <v>12</v>
      </c>
    </row>
    <row r="18" spans="1:4" x14ac:dyDescent="0.25">
      <c r="A18" t="s">
        <v>35</v>
      </c>
      <c r="B18" t="s">
        <v>372</v>
      </c>
      <c r="C18" t="s">
        <v>42</v>
      </c>
      <c r="D18">
        <v>0</v>
      </c>
    </row>
    <row r="19" spans="1:4" x14ac:dyDescent="0.25">
      <c r="A19" t="s">
        <v>44</v>
      </c>
      <c r="B19" t="s">
        <v>372</v>
      </c>
      <c r="C19" t="s">
        <v>52</v>
      </c>
      <c r="D19">
        <v>15</v>
      </c>
    </row>
    <row r="20" spans="1:4" x14ac:dyDescent="0.25">
      <c r="A20" t="s">
        <v>45</v>
      </c>
      <c r="B20" t="s">
        <v>372</v>
      </c>
      <c r="C20" t="s">
        <v>53</v>
      </c>
      <c r="D20">
        <v>8</v>
      </c>
    </row>
    <row r="21" spans="1:4" x14ac:dyDescent="0.25">
      <c r="A21" t="s">
        <v>46</v>
      </c>
      <c r="B21" t="s">
        <v>372</v>
      </c>
      <c r="C21" t="s">
        <v>54</v>
      </c>
      <c r="D21">
        <v>46</v>
      </c>
    </row>
    <row r="22" spans="1:4" x14ac:dyDescent="0.25">
      <c r="A22" t="s">
        <v>47</v>
      </c>
      <c r="B22" t="s">
        <v>372</v>
      </c>
      <c r="C22" t="s">
        <v>55</v>
      </c>
      <c r="D22">
        <v>15</v>
      </c>
    </row>
    <row r="23" spans="1:4" x14ac:dyDescent="0.25">
      <c r="A23" t="s">
        <v>48</v>
      </c>
      <c r="B23" t="s">
        <v>372</v>
      </c>
      <c r="C23" t="s">
        <v>56</v>
      </c>
      <c r="D23">
        <v>14</v>
      </c>
    </row>
    <row r="24" spans="1:4" x14ac:dyDescent="0.25">
      <c r="A24" t="s">
        <v>49</v>
      </c>
      <c r="B24" t="s">
        <v>372</v>
      </c>
      <c r="C24" t="s">
        <v>57</v>
      </c>
      <c r="D24">
        <v>15</v>
      </c>
    </row>
    <row r="25" spans="1:4" x14ac:dyDescent="0.25">
      <c r="A25" t="s">
        <v>50</v>
      </c>
      <c r="B25" t="s">
        <v>372</v>
      </c>
      <c r="C25" t="s">
        <v>58</v>
      </c>
      <c r="D25">
        <v>13</v>
      </c>
    </row>
    <row r="26" spans="1:4" x14ac:dyDescent="0.25">
      <c r="A26" t="s">
        <v>61</v>
      </c>
      <c r="B26" t="s">
        <v>372</v>
      </c>
      <c r="C26" t="s">
        <v>68</v>
      </c>
      <c r="D26">
        <v>126</v>
      </c>
    </row>
    <row r="27" spans="1:4" x14ac:dyDescent="0.25">
      <c r="A27" t="s">
        <v>62</v>
      </c>
      <c r="B27" t="s">
        <v>372</v>
      </c>
      <c r="C27" t="s">
        <v>69</v>
      </c>
      <c r="D27">
        <v>26</v>
      </c>
    </row>
    <row r="28" spans="1:4" x14ac:dyDescent="0.25">
      <c r="A28" t="s">
        <v>63</v>
      </c>
      <c r="B28" t="s">
        <v>372</v>
      </c>
      <c r="C28" t="s">
        <v>70</v>
      </c>
      <c r="D28">
        <v>32</v>
      </c>
    </row>
    <row r="29" spans="1:4" x14ac:dyDescent="0.25">
      <c r="A29" t="s">
        <v>64</v>
      </c>
      <c r="B29" t="s">
        <v>372</v>
      </c>
      <c r="C29" t="s">
        <v>71</v>
      </c>
      <c r="D29">
        <v>30</v>
      </c>
    </row>
    <row r="30" spans="1:4" x14ac:dyDescent="0.25">
      <c r="A30" t="s">
        <v>65</v>
      </c>
      <c r="B30" t="s">
        <v>372</v>
      </c>
      <c r="C30" t="s">
        <v>75</v>
      </c>
      <c r="D30">
        <v>28</v>
      </c>
    </row>
    <row r="31" spans="1:4" x14ac:dyDescent="0.25">
      <c r="A31" t="s">
        <v>66</v>
      </c>
      <c r="B31" t="s">
        <v>372</v>
      </c>
      <c r="C31" t="s">
        <v>74</v>
      </c>
      <c r="D31">
        <v>19</v>
      </c>
    </row>
    <row r="32" spans="1:4" x14ac:dyDescent="0.25">
      <c r="A32" t="s">
        <v>67</v>
      </c>
      <c r="B32" t="s">
        <v>372</v>
      </c>
      <c r="C32" t="s">
        <v>78</v>
      </c>
      <c r="D32">
        <v>4</v>
      </c>
    </row>
    <row r="33" spans="1:4" x14ac:dyDescent="0.25">
      <c r="A33" t="s">
        <v>80</v>
      </c>
      <c r="B33" t="s">
        <v>372</v>
      </c>
      <c r="C33" t="s">
        <v>87</v>
      </c>
      <c r="D33">
        <v>127</v>
      </c>
    </row>
    <row r="34" spans="1:4" x14ac:dyDescent="0.25">
      <c r="A34" t="s">
        <v>81</v>
      </c>
      <c r="B34" t="s">
        <v>372</v>
      </c>
      <c r="C34" t="s">
        <v>88</v>
      </c>
      <c r="D34">
        <v>16</v>
      </c>
    </row>
    <row r="35" spans="1:4" x14ac:dyDescent="0.25">
      <c r="A35" t="s">
        <v>82</v>
      </c>
      <c r="B35" t="s">
        <v>372</v>
      </c>
      <c r="C35" t="s">
        <v>89</v>
      </c>
      <c r="D35">
        <v>39</v>
      </c>
    </row>
    <row r="36" spans="1:4" x14ac:dyDescent="0.25">
      <c r="A36" t="s">
        <v>83</v>
      </c>
      <c r="B36" t="s">
        <v>372</v>
      </c>
      <c r="C36" t="s">
        <v>90</v>
      </c>
      <c r="D36">
        <v>16</v>
      </c>
    </row>
    <row r="37" spans="1:4" x14ac:dyDescent="0.25">
      <c r="A37" t="s">
        <v>84</v>
      </c>
      <c r="B37" t="s">
        <v>372</v>
      </c>
      <c r="C37" t="s">
        <v>91</v>
      </c>
      <c r="D37">
        <v>39</v>
      </c>
    </row>
    <row r="38" spans="1:4" x14ac:dyDescent="0.25">
      <c r="A38" t="s">
        <v>85</v>
      </c>
      <c r="B38" t="s">
        <v>372</v>
      </c>
      <c r="C38" t="s">
        <v>92</v>
      </c>
      <c r="D38">
        <v>16</v>
      </c>
    </row>
    <row r="39" spans="1:4" x14ac:dyDescent="0.25">
      <c r="A39" t="s">
        <v>86</v>
      </c>
      <c r="B39" t="s">
        <v>372</v>
      </c>
      <c r="C39" t="s">
        <v>93</v>
      </c>
      <c r="D39">
        <v>37</v>
      </c>
    </row>
    <row r="40" spans="1:4" x14ac:dyDescent="0.25">
      <c r="A40" t="s">
        <v>96</v>
      </c>
      <c r="B40" t="s">
        <v>372</v>
      </c>
      <c r="C40" t="s">
        <v>73</v>
      </c>
      <c r="D40">
        <v>39</v>
      </c>
    </row>
    <row r="41" spans="1:4" x14ac:dyDescent="0.25">
      <c r="A41" t="s">
        <v>97</v>
      </c>
      <c r="B41" t="s">
        <v>372</v>
      </c>
      <c r="C41" t="s">
        <v>76</v>
      </c>
      <c r="D41">
        <v>17</v>
      </c>
    </row>
    <row r="42" spans="1:4" x14ac:dyDescent="0.25">
      <c r="A42" t="s">
        <v>98</v>
      </c>
      <c r="B42" t="s">
        <v>372</v>
      </c>
      <c r="C42" t="s">
        <v>77</v>
      </c>
      <c r="D42">
        <v>23</v>
      </c>
    </row>
    <row r="43" spans="1:4" x14ac:dyDescent="0.25">
      <c r="A43" t="s">
        <v>101</v>
      </c>
      <c r="B43" t="s">
        <v>372</v>
      </c>
      <c r="C43" t="s">
        <v>102</v>
      </c>
      <c r="D43">
        <v>24</v>
      </c>
    </row>
    <row r="44" spans="1:4" x14ac:dyDescent="0.25">
      <c r="A44" t="s">
        <v>107</v>
      </c>
      <c r="B44" t="s">
        <v>372</v>
      </c>
      <c r="C44" t="s">
        <v>103</v>
      </c>
      <c r="D44">
        <v>67</v>
      </c>
    </row>
    <row r="45" spans="1:4" x14ac:dyDescent="0.25">
      <c r="A45" t="s">
        <v>108</v>
      </c>
      <c r="B45" t="s">
        <v>372</v>
      </c>
      <c r="C45" t="s">
        <v>104</v>
      </c>
      <c r="D45">
        <v>73</v>
      </c>
    </row>
    <row r="46" spans="1:4" x14ac:dyDescent="0.25">
      <c r="A46" t="s">
        <v>109</v>
      </c>
      <c r="B46" t="s">
        <v>372</v>
      </c>
      <c r="C46" t="s">
        <v>105</v>
      </c>
      <c r="D46">
        <v>36</v>
      </c>
    </row>
    <row r="47" spans="1:4" x14ac:dyDescent="0.25">
      <c r="A47" t="s">
        <v>110</v>
      </c>
      <c r="B47" t="s">
        <v>372</v>
      </c>
      <c r="C47" t="s">
        <v>106</v>
      </c>
      <c r="D47">
        <v>20</v>
      </c>
    </row>
    <row r="48" spans="1:4" x14ac:dyDescent="0.25">
      <c r="A48" t="s">
        <v>114</v>
      </c>
      <c r="B48" t="s">
        <v>111</v>
      </c>
      <c r="C48" t="s">
        <v>115</v>
      </c>
      <c r="D48">
        <v>27</v>
      </c>
    </row>
    <row r="49" spans="1:4" x14ac:dyDescent="0.25">
      <c r="A49" t="s">
        <v>119</v>
      </c>
      <c r="B49" t="s">
        <v>111</v>
      </c>
      <c r="C49" t="s">
        <v>116</v>
      </c>
      <c r="D49">
        <v>9</v>
      </c>
    </row>
    <row r="50" spans="1:4" x14ac:dyDescent="0.25">
      <c r="A50" t="s">
        <v>120</v>
      </c>
      <c r="B50" t="s">
        <v>111</v>
      </c>
      <c r="C50" t="s">
        <v>117</v>
      </c>
      <c r="D50">
        <v>2</v>
      </c>
    </row>
    <row r="51" spans="1:4" x14ac:dyDescent="0.25">
      <c r="A51" t="s">
        <v>121</v>
      </c>
      <c r="B51" t="s">
        <v>111</v>
      </c>
      <c r="C51" t="s">
        <v>118</v>
      </c>
      <c r="D51">
        <v>2</v>
      </c>
    </row>
    <row r="52" spans="1:4" x14ac:dyDescent="0.25">
      <c r="A52" t="s">
        <v>124</v>
      </c>
      <c r="B52" t="s">
        <v>215</v>
      </c>
      <c r="C52" t="s">
        <v>122</v>
      </c>
      <c r="D52">
        <v>39</v>
      </c>
    </row>
    <row r="53" spans="1:4" x14ac:dyDescent="0.25">
      <c r="A53" t="s">
        <v>134</v>
      </c>
      <c r="B53" t="s">
        <v>127</v>
      </c>
      <c r="C53" t="s">
        <v>128</v>
      </c>
      <c r="D53">
        <v>-59</v>
      </c>
    </row>
    <row r="54" spans="1:4" x14ac:dyDescent="0.25">
      <c r="A54" t="s">
        <v>135</v>
      </c>
      <c r="B54" t="s">
        <v>127</v>
      </c>
      <c r="C54" t="s">
        <v>129</v>
      </c>
      <c r="D54">
        <v>5</v>
      </c>
    </row>
    <row r="55" spans="1:4" x14ac:dyDescent="0.25">
      <c r="A55" t="s">
        <v>136</v>
      </c>
      <c r="B55" t="s">
        <v>127</v>
      </c>
      <c r="C55" t="s">
        <v>130</v>
      </c>
      <c r="D55">
        <v>30</v>
      </c>
    </row>
    <row r="56" spans="1:4" x14ac:dyDescent="0.25">
      <c r="A56" t="s">
        <v>137</v>
      </c>
      <c r="B56" t="s">
        <v>127</v>
      </c>
      <c r="C56" t="s">
        <v>131</v>
      </c>
      <c r="D56">
        <v>9</v>
      </c>
    </row>
    <row r="57" spans="1:4" x14ac:dyDescent="0.25">
      <c r="A57" t="s">
        <v>138</v>
      </c>
      <c r="B57" t="s">
        <v>132</v>
      </c>
      <c r="C57" t="s">
        <v>142</v>
      </c>
      <c r="D57">
        <v>4</v>
      </c>
    </row>
    <row r="58" spans="1:4" x14ac:dyDescent="0.25">
      <c r="A58" t="s">
        <v>139</v>
      </c>
      <c r="B58" t="s">
        <v>132</v>
      </c>
      <c r="C58" t="s">
        <v>143</v>
      </c>
      <c r="D58">
        <v>5</v>
      </c>
    </row>
    <row r="59" spans="1:4" x14ac:dyDescent="0.25">
      <c r="A59" t="s">
        <v>140</v>
      </c>
      <c r="B59" t="s">
        <v>132</v>
      </c>
      <c r="C59" t="s">
        <v>144</v>
      </c>
      <c r="D59">
        <v>13</v>
      </c>
    </row>
    <row r="60" spans="1:4" x14ac:dyDescent="0.25">
      <c r="A60" t="s">
        <v>141</v>
      </c>
      <c r="B60" t="s">
        <v>132</v>
      </c>
      <c r="C60" t="s">
        <v>145</v>
      </c>
      <c r="D60">
        <v>2</v>
      </c>
    </row>
    <row r="61" spans="1:4" x14ac:dyDescent="0.25">
      <c r="A61" t="s">
        <v>147</v>
      </c>
      <c r="B61" t="s">
        <v>132</v>
      </c>
      <c r="C61" t="s">
        <v>146</v>
      </c>
      <c r="D61">
        <v>0</v>
      </c>
    </row>
    <row r="62" spans="1:4" x14ac:dyDescent="0.25">
      <c r="A62" t="s">
        <v>151</v>
      </c>
      <c r="B62" t="s">
        <v>148</v>
      </c>
      <c r="C62" t="s">
        <v>150</v>
      </c>
      <c r="D62">
        <v>53</v>
      </c>
    </row>
    <row r="63" spans="1:4" x14ac:dyDescent="0.25">
      <c r="A63" t="s">
        <v>156</v>
      </c>
      <c r="B63" t="s">
        <v>148</v>
      </c>
      <c r="C63" t="s">
        <v>152</v>
      </c>
      <c r="D63">
        <v>4</v>
      </c>
    </row>
    <row r="64" spans="1:4" x14ac:dyDescent="0.25">
      <c r="A64" t="s">
        <v>157</v>
      </c>
      <c r="B64" t="s">
        <v>148</v>
      </c>
      <c r="C64" t="s">
        <v>153</v>
      </c>
      <c r="D64">
        <v>49</v>
      </c>
    </row>
    <row r="65" spans="1:4" x14ac:dyDescent="0.25">
      <c r="A65" t="s">
        <v>158</v>
      </c>
      <c r="B65" t="s">
        <v>148</v>
      </c>
      <c r="C65" t="s">
        <v>154</v>
      </c>
      <c r="D65">
        <v>3</v>
      </c>
    </row>
    <row r="66" spans="1:4" x14ac:dyDescent="0.25">
      <c r="A66" t="s">
        <v>159</v>
      </c>
      <c r="B66" t="s">
        <v>148</v>
      </c>
      <c r="C66" t="s">
        <v>155</v>
      </c>
      <c r="D66">
        <v>36</v>
      </c>
    </row>
    <row r="67" spans="1:4" x14ac:dyDescent="0.25">
      <c r="A67" t="s">
        <v>164</v>
      </c>
      <c r="B67" t="s">
        <v>132</v>
      </c>
      <c r="C67" t="s">
        <v>165</v>
      </c>
      <c r="D67">
        <v>62</v>
      </c>
    </row>
    <row r="68" spans="1:4" x14ac:dyDescent="0.25">
      <c r="A68" t="s">
        <v>173</v>
      </c>
      <c r="B68" t="s">
        <v>132</v>
      </c>
      <c r="C68" t="s">
        <v>166</v>
      </c>
      <c r="D68">
        <v>0</v>
      </c>
    </row>
    <row r="69" spans="1:4" x14ac:dyDescent="0.25">
      <c r="A69" t="s">
        <v>174</v>
      </c>
      <c r="B69" t="s">
        <v>132</v>
      </c>
      <c r="C69" t="s">
        <v>167</v>
      </c>
      <c r="D69">
        <v>0</v>
      </c>
    </row>
    <row r="70" spans="1:4" x14ac:dyDescent="0.25">
      <c r="A70" t="s">
        <v>175</v>
      </c>
      <c r="B70" t="s">
        <v>132</v>
      </c>
      <c r="C70" t="s">
        <v>168</v>
      </c>
      <c r="D70">
        <v>0</v>
      </c>
    </row>
    <row r="71" spans="1:4" x14ac:dyDescent="0.25">
      <c r="A71" t="s">
        <v>176</v>
      </c>
      <c r="B71" t="s">
        <v>132</v>
      </c>
      <c r="C71" t="s">
        <v>169</v>
      </c>
      <c r="D71">
        <v>61</v>
      </c>
    </row>
    <row r="72" spans="1:4" x14ac:dyDescent="0.25">
      <c r="A72" t="s">
        <v>177</v>
      </c>
      <c r="B72" t="s">
        <v>132</v>
      </c>
      <c r="C72" t="s">
        <v>170</v>
      </c>
      <c r="D72">
        <v>0</v>
      </c>
    </row>
    <row r="73" spans="1:4" x14ac:dyDescent="0.25">
      <c r="A73" t="s">
        <v>178</v>
      </c>
      <c r="B73" t="s">
        <v>132</v>
      </c>
      <c r="C73" t="s">
        <v>171</v>
      </c>
      <c r="D73">
        <v>23</v>
      </c>
    </row>
    <row r="74" spans="1:4" x14ac:dyDescent="0.25">
      <c r="A74" t="s">
        <v>179</v>
      </c>
      <c r="B74" t="s">
        <v>132</v>
      </c>
      <c r="C74" t="s">
        <v>172</v>
      </c>
      <c r="D74">
        <v>32</v>
      </c>
    </row>
    <row r="75" spans="1:4" x14ac:dyDescent="0.25">
      <c r="A75" t="s">
        <v>184</v>
      </c>
      <c r="B75" t="s">
        <v>183</v>
      </c>
      <c r="C75" t="s">
        <v>180</v>
      </c>
      <c r="D75">
        <v>28</v>
      </c>
    </row>
    <row r="76" spans="1:4" x14ac:dyDescent="0.25">
      <c r="A76" t="s">
        <v>220</v>
      </c>
      <c r="B76" t="s">
        <v>183</v>
      </c>
      <c r="C76" t="s">
        <v>185</v>
      </c>
      <c r="D76">
        <v>0</v>
      </c>
    </row>
    <row r="77" spans="1:4" x14ac:dyDescent="0.25">
      <c r="A77" t="s">
        <v>221</v>
      </c>
      <c r="B77" t="s">
        <v>183</v>
      </c>
      <c r="C77" t="s">
        <v>186</v>
      </c>
      <c r="D77">
        <v>13</v>
      </c>
    </row>
    <row r="78" spans="1:4" x14ac:dyDescent="0.25">
      <c r="A78" t="s">
        <v>222</v>
      </c>
      <c r="B78" t="s">
        <v>183</v>
      </c>
      <c r="C78" t="s">
        <v>187</v>
      </c>
      <c r="D78">
        <v>39</v>
      </c>
    </row>
    <row r="79" spans="1:4" x14ac:dyDescent="0.25">
      <c r="A79" t="s">
        <v>190</v>
      </c>
      <c r="B79" t="s">
        <v>216</v>
      </c>
      <c r="C79" t="s">
        <v>191</v>
      </c>
      <c r="D79">
        <v>69</v>
      </c>
    </row>
    <row r="80" spans="1:4" x14ac:dyDescent="0.25">
      <c r="A80" t="s">
        <v>203</v>
      </c>
      <c r="B80" t="s">
        <v>216</v>
      </c>
      <c r="C80" t="s">
        <v>192</v>
      </c>
      <c r="D80">
        <v>67</v>
      </c>
    </row>
    <row r="81" spans="1:4" x14ac:dyDescent="0.25">
      <c r="A81" t="s">
        <v>204</v>
      </c>
      <c r="B81" t="s">
        <v>216</v>
      </c>
      <c r="C81" t="s">
        <v>193</v>
      </c>
      <c r="D81">
        <v>4</v>
      </c>
    </row>
    <row r="82" spans="1:4" x14ac:dyDescent="0.25">
      <c r="A82" t="s">
        <v>205</v>
      </c>
      <c r="B82" t="s">
        <v>216</v>
      </c>
      <c r="C82" t="s">
        <v>194</v>
      </c>
      <c r="D82">
        <v>10</v>
      </c>
    </row>
    <row r="83" spans="1:4" x14ac:dyDescent="0.25">
      <c r="A83" t="s">
        <v>206</v>
      </c>
      <c r="B83" t="s">
        <v>216</v>
      </c>
      <c r="C83" t="s">
        <v>195</v>
      </c>
      <c r="D83">
        <v>15</v>
      </c>
    </row>
    <row r="84" spans="1:4" x14ac:dyDescent="0.25">
      <c r="A84" t="s">
        <v>207</v>
      </c>
      <c r="B84" t="s">
        <v>216</v>
      </c>
      <c r="C84" t="s">
        <v>196</v>
      </c>
      <c r="D84">
        <v>5</v>
      </c>
    </row>
    <row r="85" spans="1:4" x14ac:dyDescent="0.25">
      <c r="A85" t="s">
        <v>208</v>
      </c>
      <c r="B85" t="s">
        <v>216</v>
      </c>
      <c r="C85" t="s">
        <v>197</v>
      </c>
      <c r="D85">
        <v>4</v>
      </c>
    </row>
    <row r="86" spans="1:4" x14ac:dyDescent="0.25">
      <c r="A86" t="s">
        <v>209</v>
      </c>
      <c r="B86" t="s">
        <v>216</v>
      </c>
      <c r="C86" t="s">
        <v>198</v>
      </c>
      <c r="D86">
        <v>0</v>
      </c>
    </row>
    <row r="87" spans="1:4" x14ac:dyDescent="0.25">
      <c r="A87" t="s">
        <v>210</v>
      </c>
      <c r="B87" t="s">
        <v>216</v>
      </c>
      <c r="C87" t="s">
        <v>199</v>
      </c>
      <c r="D87">
        <v>-10</v>
      </c>
    </row>
    <row r="88" spans="1:4" x14ac:dyDescent="0.25">
      <c r="A88" t="s">
        <v>211</v>
      </c>
      <c r="B88" t="s">
        <v>216</v>
      </c>
      <c r="C88" t="s">
        <v>200</v>
      </c>
      <c r="D88">
        <v>0</v>
      </c>
    </row>
    <row r="89" spans="1:4" x14ac:dyDescent="0.25">
      <c r="A89" t="s">
        <v>212</v>
      </c>
      <c r="B89" t="s">
        <v>216</v>
      </c>
      <c r="C89" t="s">
        <v>201</v>
      </c>
      <c r="D89">
        <v>0</v>
      </c>
    </row>
    <row r="90" spans="1:4" x14ac:dyDescent="0.25">
      <c r="A90" t="s">
        <v>213</v>
      </c>
      <c r="B90" t="s">
        <v>216</v>
      </c>
      <c r="C90" t="s">
        <v>202</v>
      </c>
      <c r="D90">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B32" sqref="B32"/>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214</v>
      </c>
      <c r="M1" s="116" t="s">
        <v>6</v>
      </c>
      <c r="N1" s="116"/>
      <c r="P1" s="116" t="s">
        <v>111</v>
      </c>
      <c r="Q1" s="116"/>
      <c r="S1" s="116" t="s">
        <v>215</v>
      </c>
      <c r="T1" s="116"/>
      <c r="V1" s="116" t="s">
        <v>127</v>
      </c>
      <c r="W1" s="116"/>
      <c r="Y1" s="116" t="s">
        <v>132</v>
      </c>
      <c r="Z1" s="116"/>
      <c r="AB1" s="116" t="s">
        <v>148</v>
      </c>
      <c r="AC1" s="116"/>
      <c r="AE1" s="116" t="s">
        <v>183</v>
      </c>
      <c r="AF1" s="116"/>
      <c r="AH1" s="116" t="s">
        <v>216</v>
      </c>
      <c r="AI1" s="116"/>
    </row>
    <row r="2" spans="2:35" x14ac:dyDescent="0.25">
      <c r="B2" t="s">
        <v>4</v>
      </c>
      <c r="C2" s="1" t="s">
        <v>5</v>
      </c>
      <c r="E2" s="22">
        <v>45218</v>
      </c>
      <c r="G2" s="1" t="s">
        <v>0</v>
      </c>
      <c r="H2" s="1" t="s">
        <v>1</v>
      </c>
      <c r="I2" s="1" t="s">
        <v>373</v>
      </c>
      <c r="J2" s="1" t="s">
        <v>378</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465</v>
      </c>
      <c r="I3" t="s">
        <v>372</v>
      </c>
      <c r="J3">
        <v>284.51</v>
      </c>
      <c r="M3" s="1" t="s">
        <v>9</v>
      </c>
      <c r="N3" t="s">
        <v>465</v>
      </c>
      <c r="P3" s="1" t="s">
        <v>114</v>
      </c>
      <c r="Q3" t="s">
        <v>511</v>
      </c>
      <c r="S3" s="1" t="s">
        <v>124</v>
      </c>
      <c r="T3" t="s">
        <v>515</v>
      </c>
      <c r="V3" s="1" t="s">
        <v>134</v>
      </c>
      <c r="W3" t="s">
        <v>516</v>
      </c>
      <c r="Y3" s="1" t="s">
        <v>138</v>
      </c>
      <c r="Z3" t="s">
        <v>520</v>
      </c>
      <c r="AB3" s="1" t="s">
        <v>151</v>
      </c>
      <c r="AC3" t="s">
        <v>533</v>
      </c>
      <c r="AE3" s="1" t="s">
        <v>184</v>
      </c>
      <c r="AF3" t="s">
        <v>538</v>
      </c>
      <c r="AH3" s="1" t="s">
        <v>190</v>
      </c>
      <c r="AI3" t="s">
        <v>542</v>
      </c>
    </row>
    <row r="4" spans="2:35" x14ac:dyDescent="0.25">
      <c r="B4" t="s">
        <v>25</v>
      </c>
      <c r="C4" s="1" t="s">
        <v>26</v>
      </c>
      <c r="E4" s="1" t="s">
        <v>229</v>
      </c>
      <c r="G4" t="s">
        <v>11</v>
      </c>
      <c r="H4" t="s">
        <v>466</v>
      </c>
      <c r="I4" t="s">
        <v>372</v>
      </c>
      <c r="J4">
        <v>1019.05</v>
      </c>
      <c r="M4" s="1" t="s">
        <v>11</v>
      </c>
      <c r="N4" t="s">
        <v>466</v>
      </c>
      <c r="P4" s="1" t="s">
        <v>119</v>
      </c>
      <c r="Q4" t="s">
        <v>512</v>
      </c>
      <c r="V4" s="1" t="s">
        <v>135</v>
      </c>
      <c r="W4" t="s">
        <v>517</v>
      </c>
      <c r="Y4" s="1" t="s">
        <v>139</v>
      </c>
      <c r="Z4" t="s">
        <v>521</v>
      </c>
      <c r="AB4" s="1" t="s">
        <v>156</v>
      </c>
      <c r="AC4" t="s">
        <v>534</v>
      </c>
      <c r="AE4" s="1" t="s">
        <v>220</v>
      </c>
      <c r="AF4" t="s">
        <v>539</v>
      </c>
      <c r="AH4" s="1" t="s">
        <v>203</v>
      </c>
      <c r="AI4" t="s">
        <v>543</v>
      </c>
    </row>
    <row r="5" spans="2:35" x14ac:dyDescent="0.25">
      <c r="B5" t="s">
        <v>160</v>
      </c>
      <c r="C5" s="1" t="s">
        <v>43</v>
      </c>
      <c r="E5" s="5">
        <v>0.25</v>
      </c>
      <c r="G5" t="s">
        <v>13</v>
      </c>
      <c r="H5" t="s">
        <v>467</v>
      </c>
      <c r="I5" t="s">
        <v>372</v>
      </c>
      <c r="J5">
        <v>573.61</v>
      </c>
      <c r="M5" s="1" t="s">
        <v>13</v>
      </c>
      <c r="N5" t="s">
        <v>467</v>
      </c>
      <c r="P5" s="1" t="s">
        <v>120</v>
      </c>
      <c r="Q5" t="s">
        <v>513</v>
      </c>
      <c r="V5" s="1" t="s">
        <v>136</v>
      </c>
      <c r="W5" t="s">
        <v>518</v>
      </c>
      <c r="Y5" s="1" t="s">
        <v>140</v>
      </c>
      <c r="Z5" t="s">
        <v>522</v>
      </c>
      <c r="AB5" s="1" t="s">
        <v>157</v>
      </c>
      <c r="AC5" t="s">
        <v>535</v>
      </c>
      <c r="AE5" s="1" t="s">
        <v>221</v>
      </c>
      <c r="AF5" t="s">
        <v>540</v>
      </c>
      <c r="AH5" s="1" t="s">
        <v>204</v>
      </c>
      <c r="AI5" t="s">
        <v>544</v>
      </c>
    </row>
    <row r="6" spans="2:35" x14ac:dyDescent="0.25">
      <c r="B6" t="s">
        <v>59</v>
      </c>
      <c r="C6" s="1" t="s">
        <v>60</v>
      </c>
      <c r="E6" s="5">
        <v>0.29166666666666702</v>
      </c>
      <c r="G6" t="s">
        <v>15</v>
      </c>
      <c r="H6" t="s">
        <v>468</v>
      </c>
      <c r="I6" t="s">
        <v>372</v>
      </c>
      <c r="J6">
        <v>266.06</v>
      </c>
      <c r="M6" s="1" t="s">
        <v>15</v>
      </c>
      <c r="N6" t="s">
        <v>468</v>
      </c>
      <c r="P6" s="1" t="s">
        <v>121</v>
      </c>
      <c r="Q6" t="s">
        <v>514</v>
      </c>
      <c r="V6" s="1" t="s">
        <v>137</v>
      </c>
      <c r="W6" t="s">
        <v>519</v>
      </c>
      <c r="Y6" s="1" t="s">
        <v>141</v>
      </c>
      <c r="Z6" t="s">
        <v>523</v>
      </c>
      <c r="AB6" s="1" t="s">
        <v>158</v>
      </c>
      <c r="AC6" t="s">
        <v>536</v>
      </c>
      <c r="AE6" s="1" t="s">
        <v>222</v>
      </c>
      <c r="AF6" t="s">
        <v>541</v>
      </c>
      <c r="AH6" s="1" t="s">
        <v>205</v>
      </c>
      <c r="AI6" t="s">
        <v>545</v>
      </c>
    </row>
    <row r="7" spans="2:35" x14ac:dyDescent="0.25">
      <c r="B7" t="s">
        <v>72</v>
      </c>
      <c r="C7" s="1" t="s">
        <v>79</v>
      </c>
      <c r="E7" s="5">
        <v>0.33333333333333298</v>
      </c>
      <c r="G7" t="s">
        <v>16</v>
      </c>
      <c r="H7" t="s">
        <v>469</v>
      </c>
      <c r="I7" t="s">
        <v>372</v>
      </c>
      <c r="J7">
        <v>1047.3900000000001</v>
      </c>
      <c r="M7" s="1" t="s">
        <v>16</v>
      </c>
      <c r="N7" t="s">
        <v>469</v>
      </c>
      <c r="Y7" s="1" t="s">
        <v>147</v>
      </c>
      <c r="Z7" t="s">
        <v>524</v>
      </c>
      <c r="AB7" s="1" t="s">
        <v>159</v>
      </c>
      <c r="AC7" t="s">
        <v>537</v>
      </c>
      <c r="AH7" s="1" t="s">
        <v>206</v>
      </c>
      <c r="AI7" t="s">
        <v>546</v>
      </c>
    </row>
    <row r="8" spans="2:35" x14ac:dyDescent="0.25">
      <c r="B8" t="s">
        <v>94</v>
      </c>
      <c r="C8" s="1" t="s">
        <v>95</v>
      </c>
      <c r="E8" s="5">
        <v>0.375</v>
      </c>
      <c r="G8" t="s">
        <v>17</v>
      </c>
      <c r="H8" t="s">
        <v>470</v>
      </c>
      <c r="I8" t="s">
        <v>372</v>
      </c>
      <c r="J8">
        <v>684.45</v>
      </c>
      <c r="M8" s="1" t="s">
        <v>17</v>
      </c>
      <c r="N8" t="s">
        <v>470</v>
      </c>
      <c r="Y8" s="1" t="s">
        <v>164</v>
      </c>
      <c r="Z8" t="s">
        <v>525</v>
      </c>
      <c r="AH8" s="1" t="s">
        <v>207</v>
      </c>
      <c r="AI8" t="s">
        <v>547</v>
      </c>
    </row>
    <row r="9" spans="2:35" x14ac:dyDescent="0.25">
      <c r="B9" t="s">
        <v>99</v>
      </c>
      <c r="C9" s="1" t="s">
        <v>100</v>
      </c>
      <c r="E9" s="5">
        <v>0.41666666666666702</v>
      </c>
      <c r="G9" t="s">
        <v>18</v>
      </c>
      <c r="H9" t="s">
        <v>471</v>
      </c>
      <c r="I9" t="s">
        <v>372</v>
      </c>
      <c r="J9">
        <v>84.13</v>
      </c>
      <c r="M9" s="1" t="s">
        <v>18</v>
      </c>
      <c r="N9" t="s">
        <v>471</v>
      </c>
      <c r="Y9" s="1" t="s">
        <v>173</v>
      </c>
      <c r="Z9" t="s">
        <v>526</v>
      </c>
      <c r="AH9" s="1" t="s">
        <v>208</v>
      </c>
      <c r="AI9" t="s">
        <v>548</v>
      </c>
    </row>
    <row r="10" spans="2:35" x14ac:dyDescent="0.25">
      <c r="B10" t="s">
        <v>112</v>
      </c>
      <c r="C10" s="1" t="s">
        <v>113</v>
      </c>
      <c r="E10" s="5">
        <v>0.45833333333333298</v>
      </c>
      <c r="G10" t="s">
        <v>19</v>
      </c>
      <c r="H10" t="s">
        <v>472</v>
      </c>
      <c r="I10" t="s">
        <v>372</v>
      </c>
      <c r="J10">
        <v>967.5</v>
      </c>
      <c r="M10" s="1" t="s">
        <v>19</v>
      </c>
      <c r="N10" t="s">
        <v>472</v>
      </c>
      <c r="Y10" s="1" t="s">
        <v>174</v>
      </c>
      <c r="Z10" t="s">
        <v>527</v>
      </c>
      <c r="AH10" s="1" t="s">
        <v>209</v>
      </c>
      <c r="AI10" t="s">
        <v>549</v>
      </c>
    </row>
    <row r="11" spans="2:35" x14ac:dyDescent="0.25">
      <c r="B11" t="s">
        <v>122</v>
      </c>
      <c r="C11" s="1" t="s">
        <v>123</v>
      </c>
      <c r="E11" s="5">
        <v>0.5</v>
      </c>
      <c r="G11" t="s">
        <v>27</v>
      </c>
      <c r="H11" t="s">
        <v>473</v>
      </c>
      <c r="I11" t="s">
        <v>372</v>
      </c>
      <c r="J11">
        <v>734.58</v>
      </c>
      <c r="M11" s="1" t="s">
        <v>27</v>
      </c>
      <c r="N11" t="s">
        <v>473</v>
      </c>
      <c r="Y11" s="1" t="s">
        <v>175</v>
      </c>
      <c r="Z11" t="s">
        <v>528</v>
      </c>
      <c r="AH11" s="1" t="s">
        <v>210</v>
      </c>
      <c r="AI11" t="s">
        <v>550</v>
      </c>
    </row>
    <row r="12" spans="2:35" x14ac:dyDescent="0.25">
      <c r="B12" t="s">
        <v>125</v>
      </c>
      <c r="C12" s="1" t="s">
        <v>126</v>
      </c>
      <c r="E12" s="5">
        <v>0.54166666666666696</v>
      </c>
      <c r="G12" t="s">
        <v>29</v>
      </c>
      <c r="H12" t="s">
        <v>474</v>
      </c>
      <c r="I12" t="s">
        <v>372</v>
      </c>
      <c r="J12">
        <v>335.18</v>
      </c>
      <c r="M12" s="1" t="s">
        <v>29</v>
      </c>
      <c r="N12" t="s">
        <v>474</v>
      </c>
      <c r="Y12" s="1" t="s">
        <v>176</v>
      </c>
      <c r="Z12" t="s">
        <v>529</v>
      </c>
      <c r="AH12" s="1" t="s">
        <v>211</v>
      </c>
      <c r="AI12" t="s">
        <v>551</v>
      </c>
    </row>
    <row r="13" spans="2:35" x14ac:dyDescent="0.25">
      <c r="B13" t="s">
        <v>161</v>
      </c>
      <c r="C13" s="1" t="s">
        <v>133</v>
      </c>
      <c r="E13" s="5">
        <v>0.58333333333333603</v>
      </c>
      <c r="G13" t="s">
        <v>30</v>
      </c>
      <c r="H13" t="s">
        <v>475</v>
      </c>
      <c r="I13" t="s">
        <v>372</v>
      </c>
      <c r="J13">
        <v>545.11</v>
      </c>
      <c r="M13" s="1" t="s">
        <v>30</v>
      </c>
      <c r="N13" t="s">
        <v>475</v>
      </c>
      <c r="Y13" s="1" t="s">
        <v>177</v>
      </c>
      <c r="Z13" t="s">
        <v>530</v>
      </c>
      <c r="AH13" s="1" t="s">
        <v>212</v>
      </c>
      <c r="AI13" t="s">
        <v>552</v>
      </c>
    </row>
    <row r="14" spans="2:35" x14ac:dyDescent="0.25">
      <c r="B14" t="s">
        <v>148</v>
      </c>
      <c r="C14" s="1" t="s">
        <v>149</v>
      </c>
      <c r="E14" s="5">
        <v>0.625000000000003</v>
      </c>
      <c r="G14" t="s">
        <v>31</v>
      </c>
      <c r="H14" t="s">
        <v>476</v>
      </c>
      <c r="I14" t="s">
        <v>372</v>
      </c>
      <c r="J14">
        <v>688.89</v>
      </c>
      <c r="M14" s="1" t="s">
        <v>31</v>
      </c>
      <c r="N14" t="s">
        <v>476</v>
      </c>
      <c r="Y14" s="1" t="s">
        <v>178</v>
      </c>
      <c r="Z14" t="s">
        <v>531</v>
      </c>
      <c r="AH14" s="1" t="s">
        <v>213</v>
      </c>
      <c r="AI14" t="s">
        <v>553</v>
      </c>
    </row>
    <row r="15" spans="2:35" x14ac:dyDescent="0.25">
      <c r="B15" t="s">
        <v>162</v>
      </c>
      <c r="C15" s="1" t="s">
        <v>163</v>
      </c>
      <c r="E15" s="5">
        <v>0.66666666666666996</v>
      </c>
      <c r="G15" t="s">
        <v>32</v>
      </c>
      <c r="H15" t="s">
        <v>477</v>
      </c>
      <c r="I15" t="s">
        <v>372</v>
      </c>
      <c r="J15">
        <v>144.16999999999999</v>
      </c>
      <c r="M15" s="1" t="s">
        <v>32</v>
      </c>
      <c r="N15" t="s">
        <v>477</v>
      </c>
      <c r="Y15" s="1" t="s">
        <v>179</v>
      </c>
      <c r="Z15" t="s">
        <v>532</v>
      </c>
    </row>
    <row r="16" spans="2:35" x14ac:dyDescent="0.25">
      <c r="B16" t="s">
        <v>182</v>
      </c>
      <c r="C16" s="1" t="s">
        <v>181</v>
      </c>
      <c r="E16" s="5">
        <v>0.70833333333333703</v>
      </c>
      <c r="G16" t="s">
        <v>33</v>
      </c>
      <c r="H16" t="s">
        <v>478</v>
      </c>
      <c r="I16" t="s">
        <v>372</v>
      </c>
      <c r="J16">
        <v>578.24</v>
      </c>
      <c r="M16" s="1" t="s">
        <v>33</v>
      </c>
      <c r="N16" t="s">
        <v>478</v>
      </c>
    </row>
    <row r="17" spans="2:17" x14ac:dyDescent="0.25">
      <c r="B17" t="s">
        <v>188</v>
      </c>
      <c r="C17" s="1" t="s">
        <v>189</v>
      </c>
      <c r="E17" s="5">
        <v>0.750000000000004</v>
      </c>
      <c r="G17" t="s">
        <v>34</v>
      </c>
      <c r="H17" t="s">
        <v>479</v>
      </c>
      <c r="I17" t="s">
        <v>372</v>
      </c>
      <c r="J17">
        <v>472.04</v>
      </c>
      <c r="M17" s="1" t="s">
        <v>34</v>
      </c>
      <c r="N17" t="s">
        <v>479</v>
      </c>
    </row>
    <row r="18" spans="2:17" x14ac:dyDescent="0.25">
      <c r="G18" t="s">
        <v>35</v>
      </c>
      <c r="H18" t="s">
        <v>480</v>
      </c>
      <c r="I18" t="s">
        <v>372</v>
      </c>
      <c r="J18">
        <v>74.09</v>
      </c>
      <c r="M18" s="1" t="s">
        <v>35</v>
      </c>
      <c r="N18" t="s">
        <v>480</v>
      </c>
    </row>
    <row r="19" spans="2:17" x14ac:dyDescent="0.25">
      <c r="E19" s="1" t="s">
        <v>373</v>
      </c>
      <c r="G19" t="s">
        <v>44</v>
      </c>
      <c r="H19" t="s">
        <v>481</v>
      </c>
      <c r="I19" t="s">
        <v>372</v>
      </c>
      <c r="J19">
        <v>207.96</v>
      </c>
      <c r="M19" s="1" t="s">
        <v>44</v>
      </c>
      <c r="N19" t="s">
        <v>481</v>
      </c>
    </row>
    <row r="20" spans="2:17" x14ac:dyDescent="0.25">
      <c r="B20" s="24"/>
      <c r="E20" s="1" t="s">
        <v>372</v>
      </c>
      <c r="G20" t="s">
        <v>45</v>
      </c>
      <c r="H20" t="s">
        <v>482</v>
      </c>
      <c r="I20" t="s">
        <v>372</v>
      </c>
      <c r="J20">
        <v>872.04</v>
      </c>
      <c r="M20" s="1" t="s">
        <v>45</v>
      </c>
      <c r="N20" t="s">
        <v>482</v>
      </c>
    </row>
    <row r="21" spans="2:17" x14ac:dyDescent="0.25">
      <c r="E21" s="1" t="s">
        <v>111</v>
      </c>
      <c r="G21" t="s">
        <v>46</v>
      </c>
      <c r="H21" t="s">
        <v>483</v>
      </c>
      <c r="I21" t="s">
        <v>372</v>
      </c>
      <c r="J21">
        <v>571.13</v>
      </c>
      <c r="M21" s="1" t="s">
        <v>46</v>
      </c>
      <c r="N21" t="s">
        <v>483</v>
      </c>
    </row>
    <row r="22" spans="2:17" x14ac:dyDescent="0.25">
      <c r="E22" s="1" t="s">
        <v>215</v>
      </c>
      <c r="G22" t="s">
        <v>47</v>
      </c>
      <c r="H22" t="s">
        <v>484</v>
      </c>
      <c r="I22" t="s">
        <v>372</v>
      </c>
      <c r="J22">
        <v>883.98</v>
      </c>
      <c r="M22" s="1" t="s">
        <v>47</v>
      </c>
      <c r="N22" t="s">
        <v>484</v>
      </c>
    </row>
    <row r="23" spans="2:17" x14ac:dyDescent="0.25">
      <c r="E23" s="1" t="s">
        <v>127</v>
      </c>
      <c r="G23" t="s">
        <v>48</v>
      </c>
      <c r="H23" t="s">
        <v>485</v>
      </c>
      <c r="I23" t="s">
        <v>372</v>
      </c>
      <c r="J23">
        <v>386.13</v>
      </c>
      <c r="M23" s="1" t="s">
        <v>48</v>
      </c>
      <c r="N23" t="s">
        <v>485</v>
      </c>
    </row>
    <row r="24" spans="2:17" x14ac:dyDescent="0.25">
      <c r="E24" s="1" t="s">
        <v>132</v>
      </c>
      <c r="G24" t="s">
        <v>49</v>
      </c>
      <c r="H24" t="s">
        <v>486</v>
      </c>
      <c r="I24" t="s">
        <v>372</v>
      </c>
      <c r="J24">
        <v>501.07</v>
      </c>
      <c r="M24" s="1" t="s">
        <v>49</v>
      </c>
      <c r="N24" t="s">
        <v>486</v>
      </c>
    </row>
    <row r="25" spans="2:17" x14ac:dyDescent="0.25">
      <c r="E25" s="1" t="s">
        <v>148</v>
      </c>
      <c r="G25" t="s">
        <v>50</v>
      </c>
      <c r="H25" t="s">
        <v>487</v>
      </c>
      <c r="I25" t="s">
        <v>372</v>
      </c>
      <c r="J25">
        <v>342.83</v>
      </c>
      <c r="M25" s="1" t="s">
        <v>50</v>
      </c>
      <c r="N25" t="s">
        <v>487</v>
      </c>
    </row>
    <row r="26" spans="2:17" x14ac:dyDescent="0.25">
      <c r="E26" s="1" t="s">
        <v>183</v>
      </c>
      <c r="G26" t="s">
        <v>51</v>
      </c>
      <c r="H26" t="s">
        <v>488</v>
      </c>
      <c r="I26" t="s">
        <v>372</v>
      </c>
      <c r="J26">
        <v>89.96</v>
      </c>
      <c r="M26" s="1" t="s">
        <v>51</v>
      </c>
      <c r="N26" t="s">
        <v>488</v>
      </c>
      <c r="Q26" t="s">
        <v>230</v>
      </c>
    </row>
    <row r="27" spans="2:17" x14ac:dyDescent="0.25">
      <c r="E27" s="1" t="s">
        <v>216</v>
      </c>
      <c r="G27" t="s">
        <v>61</v>
      </c>
      <c r="H27" t="s">
        <v>489</v>
      </c>
      <c r="I27" t="s">
        <v>372</v>
      </c>
      <c r="J27">
        <v>569.71</v>
      </c>
      <c r="M27" s="1" t="s">
        <v>61</v>
      </c>
      <c r="N27" t="s">
        <v>489</v>
      </c>
    </row>
    <row r="28" spans="2:17" x14ac:dyDescent="0.25">
      <c r="G28" t="s">
        <v>62</v>
      </c>
      <c r="H28" t="s">
        <v>490</v>
      </c>
      <c r="I28" t="s">
        <v>372</v>
      </c>
      <c r="J28">
        <v>560.27</v>
      </c>
      <c r="M28" s="1" t="s">
        <v>62</v>
      </c>
      <c r="N28" t="s">
        <v>490</v>
      </c>
    </row>
    <row r="29" spans="2:17" x14ac:dyDescent="0.25">
      <c r="G29" t="s">
        <v>63</v>
      </c>
      <c r="H29" t="s">
        <v>491</v>
      </c>
      <c r="I29" t="s">
        <v>372</v>
      </c>
      <c r="J29">
        <v>954.47</v>
      </c>
      <c r="M29" s="1" t="s">
        <v>63</v>
      </c>
      <c r="N29" t="s">
        <v>491</v>
      </c>
    </row>
    <row r="30" spans="2:17" x14ac:dyDescent="0.25">
      <c r="G30" t="s">
        <v>64</v>
      </c>
      <c r="H30" t="s">
        <v>492</v>
      </c>
      <c r="I30" t="s">
        <v>372</v>
      </c>
      <c r="J30">
        <v>533.52</v>
      </c>
      <c r="M30" s="1" t="s">
        <v>64</v>
      </c>
      <c r="N30" t="s">
        <v>492</v>
      </c>
    </row>
    <row r="31" spans="2:17" x14ac:dyDescent="0.25">
      <c r="G31" t="s">
        <v>65</v>
      </c>
      <c r="H31" t="s">
        <v>493</v>
      </c>
      <c r="I31" t="s">
        <v>372</v>
      </c>
      <c r="J31">
        <v>50.26</v>
      </c>
      <c r="M31" s="1" t="s">
        <v>65</v>
      </c>
      <c r="N31" t="s">
        <v>493</v>
      </c>
    </row>
    <row r="32" spans="2:17" x14ac:dyDescent="0.25">
      <c r="G32" t="s">
        <v>66</v>
      </c>
      <c r="H32" t="s">
        <v>494</v>
      </c>
      <c r="I32" t="s">
        <v>372</v>
      </c>
      <c r="J32">
        <v>1041.3900000000001</v>
      </c>
      <c r="M32" s="1" t="s">
        <v>66</v>
      </c>
      <c r="N32" t="s">
        <v>494</v>
      </c>
    </row>
    <row r="33" spans="7:14" x14ac:dyDescent="0.25">
      <c r="G33" t="s">
        <v>67</v>
      </c>
      <c r="H33" t="s">
        <v>495</v>
      </c>
      <c r="I33" t="s">
        <v>372</v>
      </c>
      <c r="J33">
        <v>317.58</v>
      </c>
      <c r="M33" s="1" t="s">
        <v>67</v>
      </c>
      <c r="N33" t="s">
        <v>495</v>
      </c>
    </row>
    <row r="34" spans="7:14" x14ac:dyDescent="0.25">
      <c r="G34" t="s">
        <v>80</v>
      </c>
      <c r="H34" t="s">
        <v>496</v>
      </c>
      <c r="I34" t="s">
        <v>372</v>
      </c>
      <c r="J34">
        <v>128.91999999999999</v>
      </c>
      <c r="M34" s="1" t="s">
        <v>80</v>
      </c>
      <c r="N34" t="s">
        <v>496</v>
      </c>
    </row>
    <row r="35" spans="7:14" x14ac:dyDescent="0.25">
      <c r="G35" t="s">
        <v>81</v>
      </c>
      <c r="H35" t="s">
        <v>497</v>
      </c>
      <c r="I35" t="s">
        <v>372</v>
      </c>
      <c r="J35">
        <v>259.06</v>
      </c>
      <c r="M35" s="1" t="s">
        <v>81</v>
      </c>
      <c r="N35" t="s">
        <v>497</v>
      </c>
    </row>
    <row r="36" spans="7:14" x14ac:dyDescent="0.25">
      <c r="G36" t="s">
        <v>82</v>
      </c>
      <c r="H36" t="s">
        <v>498</v>
      </c>
      <c r="I36" t="s">
        <v>372</v>
      </c>
      <c r="J36">
        <v>146.43</v>
      </c>
      <c r="M36" s="1" t="s">
        <v>82</v>
      </c>
      <c r="N36" t="s">
        <v>498</v>
      </c>
    </row>
    <row r="37" spans="7:14" x14ac:dyDescent="0.25">
      <c r="G37" t="s">
        <v>83</v>
      </c>
      <c r="H37" t="s">
        <v>499</v>
      </c>
      <c r="I37" t="s">
        <v>372</v>
      </c>
      <c r="J37">
        <v>784.57</v>
      </c>
      <c r="M37" s="1" t="s">
        <v>83</v>
      </c>
      <c r="N37" t="s">
        <v>499</v>
      </c>
    </row>
    <row r="38" spans="7:14" x14ac:dyDescent="0.25">
      <c r="G38" t="s">
        <v>84</v>
      </c>
      <c r="H38" t="s">
        <v>500</v>
      </c>
      <c r="I38" t="s">
        <v>372</v>
      </c>
      <c r="J38">
        <v>133.69999999999999</v>
      </c>
      <c r="M38" s="1" t="s">
        <v>84</v>
      </c>
      <c r="N38" t="s">
        <v>500</v>
      </c>
    </row>
    <row r="39" spans="7:14" x14ac:dyDescent="0.25">
      <c r="G39" t="s">
        <v>85</v>
      </c>
      <c r="H39" t="s">
        <v>501</v>
      </c>
      <c r="I39" t="s">
        <v>372</v>
      </c>
      <c r="J39">
        <v>95.24</v>
      </c>
      <c r="M39" s="1" t="s">
        <v>85</v>
      </c>
      <c r="N39" t="s">
        <v>501</v>
      </c>
    </row>
    <row r="40" spans="7:14" x14ac:dyDescent="0.25">
      <c r="G40" t="s">
        <v>86</v>
      </c>
      <c r="H40" t="s">
        <v>502</v>
      </c>
      <c r="I40" t="s">
        <v>372</v>
      </c>
      <c r="J40">
        <v>713.27</v>
      </c>
      <c r="M40" s="1" t="s">
        <v>86</v>
      </c>
      <c r="N40" t="s">
        <v>502</v>
      </c>
    </row>
    <row r="41" spans="7:14" x14ac:dyDescent="0.25">
      <c r="G41" t="s">
        <v>96</v>
      </c>
      <c r="H41" t="s">
        <v>503</v>
      </c>
      <c r="I41" t="s">
        <v>372</v>
      </c>
      <c r="J41">
        <v>895.43</v>
      </c>
      <c r="M41" s="1" t="s">
        <v>96</v>
      </c>
      <c r="N41" t="s">
        <v>503</v>
      </c>
    </row>
    <row r="42" spans="7:14" x14ac:dyDescent="0.25">
      <c r="G42" t="s">
        <v>97</v>
      </c>
      <c r="H42" t="s">
        <v>504</v>
      </c>
      <c r="I42" t="s">
        <v>372</v>
      </c>
      <c r="J42">
        <v>903.08</v>
      </c>
      <c r="M42" s="1" t="s">
        <v>97</v>
      </c>
      <c r="N42" t="s">
        <v>504</v>
      </c>
    </row>
    <row r="43" spans="7:14" x14ac:dyDescent="0.25">
      <c r="G43" t="s">
        <v>98</v>
      </c>
      <c r="H43" t="s">
        <v>505</v>
      </c>
      <c r="I43" t="s">
        <v>372</v>
      </c>
      <c r="J43">
        <v>743.87</v>
      </c>
      <c r="M43" s="1" t="s">
        <v>98</v>
      </c>
      <c r="N43" t="s">
        <v>505</v>
      </c>
    </row>
    <row r="44" spans="7:14" x14ac:dyDescent="0.25">
      <c r="G44" t="s">
        <v>101</v>
      </c>
      <c r="H44" t="s">
        <v>506</v>
      </c>
      <c r="I44" t="s">
        <v>372</v>
      </c>
      <c r="J44">
        <v>461.46</v>
      </c>
      <c r="M44" s="1" t="s">
        <v>101</v>
      </c>
      <c r="N44" t="s">
        <v>506</v>
      </c>
    </row>
    <row r="45" spans="7:14" x14ac:dyDescent="0.25">
      <c r="G45" t="s">
        <v>107</v>
      </c>
      <c r="H45" t="s">
        <v>507</v>
      </c>
      <c r="I45" t="s">
        <v>372</v>
      </c>
      <c r="J45">
        <v>263.91000000000003</v>
      </c>
      <c r="M45" s="1" t="s">
        <v>107</v>
      </c>
      <c r="N45" t="s">
        <v>507</v>
      </c>
    </row>
    <row r="46" spans="7:14" x14ac:dyDescent="0.25">
      <c r="G46" t="s">
        <v>108</v>
      </c>
      <c r="H46" t="s">
        <v>508</v>
      </c>
      <c r="I46" t="s">
        <v>372</v>
      </c>
      <c r="J46">
        <v>893.73</v>
      </c>
      <c r="M46" s="1" t="s">
        <v>108</v>
      </c>
      <c r="N46" t="s">
        <v>508</v>
      </c>
    </row>
    <row r="47" spans="7:14" x14ac:dyDescent="0.25">
      <c r="G47" t="s">
        <v>109</v>
      </c>
      <c r="H47" t="s">
        <v>509</v>
      </c>
      <c r="I47" t="s">
        <v>372</v>
      </c>
      <c r="J47">
        <v>753.03</v>
      </c>
      <c r="M47" s="1" t="s">
        <v>109</v>
      </c>
      <c r="N47" t="s">
        <v>509</v>
      </c>
    </row>
    <row r="48" spans="7:14" x14ac:dyDescent="0.25">
      <c r="G48" t="s">
        <v>110</v>
      </c>
      <c r="H48" t="s">
        <v>510</v>
      </c>
      <c r="I48" t="s">
        <v>372</v>
      </c>
      <c r="J48">
        <v>259.87</v>
      </c>
      <c r="M48" s="1" t="s">
        <v>110</v>
      </c>
      <c r="N48" t="s">
        <v>510</v>
      </c>
    </row>
    <row r="49" spans="7:10" x14ac:dyDescent="0.25">
      <c r="G49" t="s">
        <v>114</v>
      </c>
      <c r="H49" t="s">
        <v>511</v>
      </c>
      <c r="I49" t="s">
        <v>111</v>
      </c>
      <c r="J49">
        <v>520.30999999999995</v>
      </c>
    </row>
    <row r="50" spans="7:10" x14ac:dyDescent="0.25">
      <c r="G50" t="s">
        <v>119</v>
      </c>
      <c r="H50" t="s">
        <v>512</v>
      </c>
      <c r="I50" t="s">
        <v>111</v>
      </c>
      <c r="J50">
        <v>57.33</v>
      </c>
    </row>
    <row r="51" spans="7:10" x14ac:dyDescent="0.25">
      <c r="G51" t="s">
        <v>120</v>
      </c>
      <c r="H51" t="s">
        <v>513</v>
      </c>
      <c r="I51" t="s">
        <v>111</v>
      </c>
      <c r="J51">
        <v>544.63</v>
      </c>
    </row>
    <row r="52" spans="7:10" x14ac:dyDescent="0.25">
      <c r="G52" t="s">
        <v>121</v>
      </c>
      <c r="H52" t="s">
        <v>514</v>
      </c>
      <c r="I52" t="s">
        <v>111</v>
      </c>
      <c r="J52">
        <v>428.39</v>
      </c>
    </row>
    <row r="53" spans="7:10" x14ac:dyDescent="0.25">
      <c r="G53" t="s">
        <v>124</v>
      </c>
      <c r="H53" t="s">
        <v>515</v>
      </c>
      <c r="I53" t="s">
        <v>215</v>
      </c>
      <c r="J53">
        <v>791.4</v>
      </c>
    </row>
    <row r="54" spans="7:10" x14ac:dyDescent="0.25">
      <c r="G54" t="s">
        <v>134</v>
      </c>
      <c r="H54" t="s">
        <v>516</v>
      </c>
      <c r="I54" t="s">
        <v>127</v>
      </c>
      <c r="J54">
        <v>325.97000000000003</v>
      </c>
    </row>
    <row r="55" spans="7:10" x14ac:dyDescent="0.25">
      <c r="G55" t="s">
        <v>135</v>
      </c>
      <c r="H55" t="s">
        <v>517</v>
      </c>
      <c r="I55" t="s">
        <v>127</v>
      </c>
      <c r="J55">
        <v>118.61</v>
      </c>
    </row>
    <row r="56" spans="7:10" x14ac:dyDescent="0.25">
      <c r="G56" t="s">
        <v>136</v>
      </c>
      <c r="H56" t="s">
        <v>518</v>
      </c>
      <c r="I56" t="s">
        <v>127</v>
      </c>
      <c r="J56">
        <v>409.71</v>
      </c>
    </row>
    <row r="57" spans="7:10" x14ac:dyDescent="0.25">
      <c r="G57" t="s">
        <v>137</v>
      </c>
      <c r="H57" t="s">
        <v>519</v>
      </c>
      <c r="I57" t="s">
        <v>127</v>
      </c>
      <c r="J57">
        <v>194.45</v>
      </c>
    </row>
    <row r="58" spans="7:10" x14ac:dyDescent="0.25">
      <c r="G58" t="s">
        <v>138</v>
      </c>
      <c r="H58" t="s">
        <v>520</v>
      </c>
      <c r="I58" t="s">
        <v>132</v>
      </c>
      <c r="J58">
        <v>918.28</v>
      </c>
    </row>
    <row r="59" spans="7:10" x14ac:dyDescent="0.25">
      <c r="G59" t="s">
        <v>139</v>
      </c>
      <c r="H59" t="s">
        <v>521</v>
      </c>
      <c r="I59" t="s">
        <v>132</v>
      </c>
      <c r="J59">
        <v>612.22</v>
      </c>
    </row>
    <row r="60" spans="7:10" x14ac:dyDescent="0.25">
      <c r="G60" t="s">
        <v>140</v>
      </c>
      <c r="H60" t="s">
        <v>522</v>
      </c>
      <c r="I60" t="s">
        <v>132</v>
      </c>
      <c r="J60">
        <v>124.48</v>
      </c>
    </row>
    <row r="61" spans="7:10" x14ac:dyDescent="0.25">
      <c r="G61" t="s">
        <v>141</v>
      </c>
      <c r="H61" t="s">
        <v>523</v>
      </c>
      <c r="I61" t="s">
        <v>132</v>
      </c>
      <c r="J61">
        <v>492.89</v>
      </c>
    </row>
    <row r="62" spans="7:10" x14ac:dyDescent="0.25">
      <c r="G62" t="s">
        <v>147</v>
      </c>
      <c r="H62" t="s">
        <v>524</v>
      </c>
      <c r="I62" t="s">
        <v>132</v>
      </c>
      <c r="J62">
        <v>992.58</v>
      </c>
    </row>
    <row r="63" spans="7:10" x14ac:dyDescent="0.25">
      <c r="G63" t="s">
        <v>151</v>
      </c>
      <c r="H63" t="s">
        <v>533</v>
      </c>
      <c r="I63" t="s">
        <v>148</v>
      </c>
      <c r="J63">
        <v>346.36</v>
      </c>
    </row>
    <row r="64" spans="7:10" x14ac:dyDescent="0.25">
      <c r="G64" t="s">
        <v>156</v>
      </c>
      <c r="H64" t="s">
        <v>534</v>
      </c>
      <c r="I64" t="s">
        <v>148</v>
      </c>
      <c r="J64">
        <v>483.54</v>
      </c>
    </row>
    <row r="65" spans="7:10" x14ac:dyDescent="0.25">
      <c r="G65" t="s">
        <v>157</v>
      </c>
      <c r="H65" t="s">
        <v>535</v>
      </c>
      <c r="I65" t="s">
        <v>148</v>
      </c>
      <c r="J65">
        <v>56.19</v>
      </c>
    </row>
    <row r="66" spans="7:10" x14ac:dyDescent="0.25">
      <c r="G66" t="s">
        <v>158</v>
      </c>
      <c r="H66" t="s">
        <v>536</v>
      </c>
      <c r="I66" t="s">
        <v>148</v>
      </c>
      <c r="J66">
        <v>110.12</v>
      </c>
    </row>
    <row r="67" spans="7:10" x14ac:dyDescent="0.25">
      <c r="G67" t="s">
        <v>159</v>
      </c>
      <c r="H67" t="s">
        <v>537</v>
      </c>
      <c r="I67" t="s">
        <v>148</v>
      </c>
      <c r="J67">
        <v>916.08</v>
      </c>
    </row>
    <row r="68" spans="7:10" x14ac:dyDescent="0.25">
      <c r="G68" t="s">
        <v>164</v>
      </c>
      <c r="H68" t="s">
        <v>525</v>
      </c>
      <c r="I68" t="s">
        <v>132</v>
      </c>
      <c r="J68">
        <v>676.68</v>
      </c>
    </row>
    <row r="69" spans="7:10" x14ac:dyDescent="0.25">
      <c r="G69" t="s">
        <v>173</v>
      </c>
      <c r="H69" t="s">
        <v>526</v>
      </c>
      <c r="I69" t="s">
        <v>132</v>
      </c>
      <c r="J69">
        <v>610.54</v>
      </c>
    </row>
    <row r="70" spans="7:10" x14ac:dyDescent="0.25">
      <c r="G70" t="s">
        <v>174</v>
      </c>
      <c r="H70" t="s">
        <v>527</v>
      </c>
      <c r="I70" t="s">
        <v>132</v>
      </c>
      <c r="J70">
        <v>722</v>
      </c>
    </row>
    <row r="71" spans="7:10" x14ac:dyDescent="0.25">
      <c r="G71" t="s">
        <v>175</v>
      </c>
      <c r="H71" t="s">
        <v>528</v>
      </c>
      <c r="I71" t="s">
        <v>132</v>
      </c>
      <c r="J71">
        <v>116.08</v>
      </c>
    </row>
    <row r="72" spans="7:10" x14ac:dyDescent="0.25">
      <c r="G72" t="s">
        <v>176</v>
      </c>
      <c r="H72" t="s">
        <v>529</v>
      </c>
      <c r="I72" t="s">
        <v>132</v>
      </c>
      <c r="J72">
        <v>461.65</v>
      </c>
    </row>
    <row r="73" spans="7:10" x14ac:dyDescent="0.25">
      <c r="G73" t="s">
        <v>177</v>
      </c>
      <c r="H73" t="s">
        <v>530</v>
      </c>
      <c r="I73" t="s">
        <v>132</v>
      </c>
      <c r="J73">
        <v>813.68</v>
      </c>
    </row>
    <row r="74" spans="7:10" x14ac:dyDescent="0.25">
      <c r="G74" t="s">
        <v>178</v>
      </c>
      <c r="H74" t="s">
        <v>531</v>
      </c>
      <c r="I74" t="s">
        <v>132</v>
      </c>
      <c r="J74">
        <v>136.72999999999999</v>
      </c>
    </row>
    <row r="75" spans="7:10" x14ac:dyDescent="0.25">
      <c r="G75" t="s">
        <v>179</v>
      </c>
      <c r="H75" t="s">
        <v>532</v>
      </c>
      <c r="I75" t="s">
        <v>132</v>
      </c>
      <c r="J75">
        <v>358.23</v>
      </c>
    </row>
    <row r="76" spans="7:10" x14ac:dyDescent="0.25">
      <c r="G76" t="s">
        <v>184</v>
      </c>
      <c r="H76" t="s">
        <v>538</v>
      </c>
      <c r="I76" t="s">
        <v>183</v>
      </c>
      <c r="J76">
        <v>329.05</v>
      </c>
    </row>
    <row r="77" spans="7:10" x14ac:dyDescent="0.25">
      <c r="G77" t="s">
        <v>220</v>
      </c>
      <c r="H77" t="s">
        <v>539</v>
      </c>
      <c r="I77" t="s">
        <v>183</v>
      </c>
      <c r="J77">
        <v>919.46</v>
      </c>
    </row>
    <row r="78" spans="7:10" x14ac:dyDescent="0.25">
      <c r="G78" t="s">
        <v>221</v>
      </c>
      <c r="H78" t="s">
        <v>540</v>
      </c>
      <c r="I78" t="s">
        <v>183</v>
      </c>
      <c r="J78">
        <v>494.31</v>
      </c>
    </row>
    <row r="79" spans="7:10" x14ac:dyDescent="0.25">
      <c r="G79" t="s">
        <v>222</v>
      </c>
      <c r="H79" t="s">
        <v>541</v>
      </c>
      <c r="I79" t="s">
        <v>183</v>
      </c>
      <c r="J79">
        <v>229.67</v>
      </c>
    </row>
    <row r="80" spans="7:10" x14ac:dyDescent="0.25">
      <c r="G80" t="s">
        <v>190</v>
      </c>
      <c r="H80" t="s">
        <v>542</v>
      </c>
      <c r="I80" t="s">
        <v>216</v>
      </c>
      <c r="J80">
        <v>899.17</v>
      </c>
    </row>
    <row r="81" spans="7:10" x14ac:dyDescent="0.25">
      <c r="G81" t="s">
        <v>203</v>
      </c>
      <c r="H81" t="s">
        <v>543</v>
      </c>
      <c r="I81" t="s">
        <v>216</v>
      </c>
      <c r="J81">
        <v>513.16</v>
      </c>
    </row>
    <row r="82" spans="7:10" x14ac:dyDescent="0.25">
      <c r="G82" t="s">
        <v>204</v>
      </c>
      <c r="H82" t="s">
        <v>544</v>
      </c>
      <c r="I82" t="s">
        <v>216</v>
      </c>
      <c r="J82">
        <v>823.8</v>
      </c>
    </row>
    <row r="83" spans="7:10" x14ac:dyDescent="0.25">
      <c r="G83" t="s">
        <v>205</v>
      </c>
      <c r="H83" t="s">
        <v>545</v>
      </c>
      <c r="I83" t="s">
        <v>216</v>
      </c>
      <c r="J83">
        <v>781.82</v>
      </c>
    </row>
    <row r="84" spans="7:10" x14ac:dyDescent="0.25">
      <c r="G84" t="s">
        <v>206</v>
      </c>
      <c r="H84" t="s">
        <v>546</v>
      </c>
      <c r="I84" t="s">
        <v>216</v>
      </c>
      <c r="J84">
        <v>709.16</v>
      </c>
    </row>
    <row r="85" spans="7:10" x14ac:dyDescent="0.25">
      <c r="G85" t="s">
        <v>207</v>
      </c>
      <c r="H85" t="s">
        <v>547</v>
      </c>
      <c r="I85" t="s">
        <v>216</v>
      </c>
      <c r="J85">
        <v>403.6</v>
      </c>
    </row>
    <row r="86" spans="7:10" x14ac:dyDescent="0.25">
      <c r="G86" t="s">
        <v>208</v>
      </c>
      <c r="H86" t="s">
        <v>548</v>
      </c>
      <c r="I86" t="s">
        <v>216</v>
      </c>
      <c r="J86">
        <v>528.53</v>
      </c>
    </row>
    <row r="87" spans="7:10" x14ac:dyDescent="0.25">
      <c r="G87" t="s">
        <v>209</v>
      </c>
      <c r="H87" t="s">
        <v>549</v>
      </c>
      <c r="I87" t="s">
        <v>216</v>
      </c>
      <c r="J87">
        <v>228.31</v>
      </c>
    </row>
    <row r="88" spans="7:10" x14ac:dyDescent="0.25">
      <c r="G88" t="s">
        <v>210</v>
      </c>
      <c r="H88" t="s">
        <v>550</v>
      </c>
      <c r="I88" t="s">
        <v>216</v>
      </c>
      <c r="J88">
        <v>1003.57</v>
      </c>
    </row>
    <row r="89" spans="7:10" x14ac:dyDescent="0.25">
      <c r="G89" t="s">
        <v>211</v>
      </c>
      <c r="H89" t="s">
        <v>551</v>
      </c>
      <c r="I89" t="s">
        <v>216</v>
      </c>
      <c r="J89">
        <v>276.14999999999998</v>
      </c>
    </row>
    <row r="90" spans="7:10" x14ac:dyDescent="0.25">
      <c r="G90" t="s">
        <v>212</v>
      </c>
      <c r="H90" t="s">
        <v>552</v>
      </c>
      <c r="I90" t="s">
        <v>216</v>
      </c>
      <c r="J90">
        <v>819.43</v>
      </c>
    </row>
    <row r="91" spans="7:10" x14ac:dyDescent="0.25">
      <c r="G91" t="s">
        <v>213</v>
      </c>
      <c r="H91" t="s">
        <v>553</v>
      </c>
      <c r="I91" t="s">
        <v>216</v>
      </c>
      <c r="J91">
        <v>793.99</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59622D94-C503-45A4-8D8B-EF6AAFD3C452}">
  <ds:schemaRefs>
    <ds:schemaRef ds:uri="http://schemas.microsoft.com/DataMashup"/>
  </ds:schemaRefs>
</ds:datastoreItem>
</file>

<file path=customXml/itemProps2.xml><?xml version="1.0" encoding="utf-8"?>
<ds:datastoreItem xmlns:ds="http://schemas.openxmlformats.org/officeDocument/2006/customXml" ds:itemID="{582FA9D0-9332-4A37-9E84-A35E712BF43C}">
  <ds:schemaRefs/>
</ds:datastoreItem>
</file>

<file path=customXml/itemProps3.xml><?xml version="1.0" encoding="utf-8"?>
<ds:datastoreItem xmlns:ds="http://schemas.openxmlformats.org/officeDocument/2006/customXml" ds:itemID="{5C34264A-D6E0-40B8-9AAB-19475C5EE0CD}">
  <ds:schemaRefs/>
</ds:datastoreItem>
</file>

<file path=customXml/itemProps4.xml><?xml version="1.0" encoding="utf-8"?>
<ds:datastoreItem xmlns:ds="http://schemas.openxmlformats.org/officeDocument/2006/customXml" ds:itemID="{8AC1313E-C376-4C49-B84F-FE300BF57D68}">
  <ds:schemaRefs/>
</ds:datastoreItem>
</file>

<file path=customXml/itemProps5.xml><?xml version="1.0" encoding="utf-8"?>
<ds:datastoreItem xmlns:ds="http://schemas.openxmlformats.org/officeDocument/2006/customXml" ds:itemID="{F366DECE-16A5-4886-B04C-9D961C704ABA}">
  <ds:schemaRefs/>
</ds:datastoreItem>
</file>

<file path=customXml/itemProps6.xml><?xml version="1.0" encoding="utf-8"?>
<ds:datastoreItem xmlns:ds="http://schemas.openxmlformats.org/officeDocument/2006/customXml" ds:itemID="{E59CBED0-77A3-4B04-8B25-E720653BA232}">
  <ds:schemaRefs/>
</ds:datastoreItem>
</file>

<file path=customXml/itemProps7.xml><?xml version="1.0" encoding="utf-8"?>
<ds:datastoreItem xmlns:ds="http://schemas.openxmlformats.org/officeDocument/2006/customXml" ds:itemID="{A1ACB1A9-EA26-4A43-A52A-CD673AEB8B13}">
  <ds:schemaRefs/>
</ds:datastoreItem>
</file>

<file path=customXml/itemProps8.xml><?xml version="1.0" encoding="utf-8"?>
<ds:datastoreItem xmlns:ds="http://schemas.openxmlformats.org/officeDocument/2006/customXml" ds:itemID="{BBA2C573-0A3F-46A6-9325-C0E1D5AF008E}">
  <ds:schemaRefs/>
</ds:datastoreItem>
</file>

<file path=customXml/itemProps9.xml><?xml version="1.0" encoding="utf-8"?>
<ds:datastoreItem xmlns:ds="http://schemas.openxmlformats.org/officeDocument/2006/customXml" ds:itemID="{72F009B8-188B-4B03-86A5-0C66F43C6917}">
  <ds:schemaRefs/>
</ds:datastoreItem>
</file>

<file path=customXml/itemProps10.xml><?xml version="1.0" encoding="utf-8"?>
<ds:datastoreItem xmlns:ds="http://schemas.openxmlformats.org/officeDocument/2006/customXml" ds:itemID="{8096DBEA-F386-4689-BB6F-7799DFAC7037}">
  <ds:schemaRefs/>
</ds:datastoreItem>
</file>

<file path=customXml/itemProps11.xml><?xml version="1.0" encoding="utf-8"?>
<ds:datastoreItem xmlns:ds="http://schemas.openxmlformats.org/officeDocument/2006/customXml" ds:itemID="{F4748302-FA4E-4AEA-B6B3-738F51246EA5}">
  <ds:schemaRefs/>
</ds:datastoreItem>
</file>

<file path=customXml/itemProps12.xml><?xml version="1.0" encoding="utf-8"?>
<ds:datastoreItem xmlns:ds="http://schemas.openxmlformats.org/officeDocument/2006/customXml" ds:itemID="{8883B5B9-6687-4599-91C6-01D99BFA9DE9}">
  <ds:schemaRefs/>
</ds:datastoreItem>
</file>

<file path=customXml/itemProps13.xml><?xml version="1.0" encoding="utf-8"?>
<ds:datastoreItem xmlns:ds="http://schemas.openxmlformats.org/officeDocument/2006/customXml" ds:itemID="{7406702C-3B63-4478-978F-B31E006F562A}">
  <ds:schemaRefs/>
</ds:datastoreItem>
</file>

<file path=customXml/itemProps14.xml><?xml version="1.0" encoding="utf-8"?>
<ds:datastoreItem xmlns:ds="http://schemas.openxmlformats.org/officeDocument/2006/customXml" ds:itemID="{9FC10B73-B46C-4AA7-8306-07ABCDEC8268}">
  <ds:schemaRefs/>
</ds:datastoreItem>
</file>

<file path=customXml/itemProps15.xml><?xml version="1.0" encoding="utf-8"?>
<ds:datastoreItem xmlns:ds="http://schemas.openxmlformats.org/officeDocument/2006/customXml" ds:itemID="{C82255EE-B16D-49BF-B5C1-6A8B6A4700DE}">
  <ds:schemaRefs/>
</ds:datastoreItem>
</file>

<file path=customXml/itemProps16.xml><?xml version="1.0" encoding="utf-8"?>
<ds:datastoreItem xmlns:ds="http://schemas.openxmlformats.org/officeDocument/2006/customXml" ds:itemID="{DBBFE9B2-4C7A-4C7B-9F4D-5B98828C5F49}">
  <ds:schemaRefs/>
</ds:datastoreItem>
</file>

<file path=customXml/itemProps17.xml><?xml version="1.0" encoding="utf-8"?>
<ds:datastoreItem xmlns:ds="http://schemas.openxmlformats.org/officeDocument/2006/customXml" ds:itemID="{22E27EEF-BDD8-4E0C-BB2C-C4E32C9914A0}">
  <ds:schemaRefs/>
</ds:datastoreItem>
</file>

<file path=customXml/itemProps18.xml><?xml version="1.0" encoding="utf-8"?>
<ds:datastoreItem xmlns:ds="http://schemas.openxmlformats.org/officeDocument/2006/customXml" ds:itemID="{DC283ACB-1CBB-4304-B960-32ECE6CA60F1}">
  <ds:schemaRefs/>
</ds:datastoreItem>
</file>

<file path=customXml/itemProps19.xml><?xml version="1.0" encoding="utf-8"?>
<ds:datastoreItem xmlns:ds="http://schemas.openxmlformats.org/officeDocument/2006/customXml" ds:itemID="{6B8C3351-ECBC-4DBB-85A1-B5B31CEAB2E2}">
  <ds:schemaRefs/>
</ds:datastoreItem>
</file>

<file path=customXml/itemProps20.xml><?xml version="1.0" encoding="utf-8"?>
<ds:datastoreItem xmlns:ds="http://schemas.openxmlformats.org/officeDocument/2006/customXml" ds:itemID="{D2976F48-E4D4-49C9-A1E3-F4D769763B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FACTURA</vt:lpstr>
      <vt:lpstr>Ticket</vt:lpstr>
      <vt:lpstr>Ticket BACKUP</vt:lpstr>
      <vt:lpstr>METRICAS DIARIO</vt:lpstr>
      <vt:lpstr>VENTAS DIARIO</vt:lpstr>
      <vt:lpstr>Entradas_INVENTARIO</vt:lpstr>
      <vt:lpstr>Entradas_hist</vt:lpstr>
      <vt:lpstr>Salidas_hist</vt:lpstr>
      <vt:lpstr>historico_movimientos</vt:lpstr>
      <vt:lpstr>INVENTARIO ACTUAL</vt:lpstr>
      <vt:lpstr>DESCRIPCION PRODUCTOS</vt:lpstr>
      <vt:lpstr>'Ticket BACKUP'!categoria_list</vt:lpstr>
      <vt:lpstr>'VENTAS DIARIO'!categoria_list</vt:lpstr>
      <vt:lpstr>categoria_list</vt:lpstr>
      <vt:lpstr>factura_cliente</vt:lpstr>
      <vt:lpstr>factura_date</vt:lpstr>
      <vt:lpstr>factura_id</vt:lpstr>
      <vt:lpstr>factura_ultima</vt:lpstr>
      <vt:lpstr>fecha_inicio</vt:lpstr>
      <vt:lpstr>'Ticket BACKUP'!id_product</vt:lpstr>
      <vt:lpstr>'VENTAS DIARIO'!id_product</vt:lpstr>
      <vt:lpstr>id_product</vt:lpstr>
      <vt:lpstr>FACTURA!Print_Area</vt:lpstr>
      <vt:lpstr>Ticket!Print_Area</vt:lpstr>
      <vt:lpstr>'Ticket BACKUP'!Print_Area</vt:lpstr>
      <vt:lpstr>'Ticket BACKUP'!tk_descripcion</vt:lpstr>
      <vt:lpstr>tk_descripcion</vt:lpstr>
      <vt:lpstr>'Ticket BACKUP'!tk_totaltext</vt:lpstr>
      <vt:lpstr>tk_totaltext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2024-05-05T22:25:07Z</cp:lastPrinted>
  <dcterms:created xsi:type="dcterms:W3CDTF">2015-06-05T18:17:20Z</dcterms:created>
  <dcterms:modified xsi:type="dcterms:W3CDTF">2024-05-06T07:09:52Z</dcterms:modified>
</cp:coreProperties>
</file>