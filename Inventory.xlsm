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D:\Projects\Plastisol\"/>
    </mc:Choice>
  </mc:AlternateContent>
  <xr:revisionPtr revIDLastSave="0" documentId="13_ncr:1_{94B57FEC-91D5-4A21-A654-038DF06612B3}" xr6:coauthVersionLast="47" xr6:coauthVersionMax="47" xr10:uidLastSave="{00000000-0000-0000-0000-000000000000}"/>
  <bookViews>
    <workbookView xWindow="-120" yWindow="-120" windowWidth="29040" windowHeight="15840" activeTab="2" xr2:uid="{00000000-000D-0000-FFFF-FFFF00000000}"/>
  </bookViews>
  <sheets>
    <sheet name="METRICAS DIARIO" sheetId="7" r:id="rId1"/>
    <sheet name="Entradas_INVENTARIO" sheetId="2" r:id="rId2"/>
    <sheet name="FACTURA" sheetId="11" r:id="rId3"/>
    <sheet name="INVENTARIO ACTUAL" sheetId="1" state="hidden" r:id="rId4"/>
    <sheet name="Entradas_hist" sheetId="9" state="hidden" r:id="rId5"/>
    <sheet name="Salidas_hist" sheetId="4" r:id="rId6"/>
    <sheet name="historico_movimientos" sheetId="10" state="hidden" r:id="rId7"/>
    <sheet name="DESCRIPCION PRODUCTOS" sheetId="8" r:id="rId8"/>
  </sheets>
  <definedNames>
    <definedName name="_xlcn.WorksheetConnection_Inventory.xlsmhistorico_movimientos1" hidden="1">historico_movimientos[]</definedName>
    <definedName name="_xlcn.WorksheetConnection_Inventory.xlsminventario_actual1" hidden="1">inventario_actual[]</definedName>
    <definedName name="categoria_list">categoria[categoria]</definedName>
    <definedName name="ExternalData_1" localSheetId="6" hidden="1">historico_movimientos!$A$1:$K$96</definedName>
    <definedName name="ExternalData_1" localSheetId="3" hidden="1">'INVENTARIO ACTUAL'!$A$1:$D$89</definedName>
    <definedName name="factura_cliente">FACTURA!$G$9</definedName>
    <definedName name="factura_date">FACTURA!$G$7</definedName>
    <definedName name="factura_id">FACTURA!$G$6</definedName>
    <definedName name="factura_ultima">Salidas_hist!$N$1</definedName>
    <definedName name="fecha_inicio">'DESCRIPCION PRODUCTOS'!$E$2</definedName>
    <definedName name="id_product">total_leyenda[ID]</definedName>
    <definedName name="_xlnm.Print_Area" localSheetId="2">FACTURA!$A$2:$H$68</definedName>
    <definedName name="Slicer_categoria">#N/A</definedName>
    <definedName name="Slicer_fecha">#N/A</definedName>
    <definedName name="Slicer_id_producto">#N/A</definedName>
  </definedNames>
  <calcPr calcId="191029"/>
  <pivotCaches>
    <pivotCache cacheId="0" r:id="rId9"/>
    <pivotCache cacheId="1" r:id="rId10"/>
  </pivotCaches>
  <extLst>
    <ext xmlns:x14="http://schemas.microsoft.com/office/spreadsheetml/2009/9/main" uri="{876F7934-8845-4945-9796-88D515C7AA90}">
      <x14:pivotCaches>
        <pivotCache cacheId="2"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7" i="11" l="1"/>
  <c r="G39" i="11"/>
  <c r="G41" i="11"/>
  <c r="E15" i="11"/>
  <c r="E16" i="11"/>
  <c r="E17" i="11"/>
  <c r="E18" i="11"/>
  <c r="E19" i="11"/>
  <c r="E20" i="11"/>
  <c r="E21" i="11"/>
  <c r="E22" i="11"/>
  <c r="E23" i="11"/>
  <c r="E24" i="11"/>
  <c r="E25" i="11"/>
  <c r="E26" i="11"/>
  <c r="E27" i="11"/>
  <c r="E28" i="11"/>
  <c r="E29" i="11"/>
  <c r="E30" i="11"/>
  <c r="E31" i="11"/>
  <c r="E32" i="11"/>
  <c r="E33" i="11"/>
  <c r="C30" i="11"/>
  <c r="C31" i="11"/>
  <c r="C32" i="11"/>
  <c r="C33" i="11"/>
  <c r="G30" i="11"/>
  <c r="G31" i="11"/>
  <c r="G32" i="11"/>
  <c r="G33" i="11"/>
  <c r="C16" i="11"/>
  <c r="C17" i="11"/>
  <c r="C18" i="11"/>
  <c r="C19" i="11"/>
  <c r="C20" i="11"/>
  <c r="C21" i="11"/>
  <c r="C22" i="11"/>
  <c r="C23" i="11"/>
  <c r="C24" i="11"/>
  <c r="C25" i="11"/>
  <c r="C26" i="11"/>
  <c r="C27" i="11"/>
  <c r="C28" i="11"/>
  <c r="C29" i="11"/>
  <c r="G16" i="11"/>
  <c r="G17" i="11"/>
  <c r="G18" i="11"/>
  <c r="G19" i="11"/>
  <c r="G20" i="11"/>
  <c r="G21" i="11"/>
  <c r="G22" i="11"/>
  <c r="G23" i="11"/>
  <c r="G24" i="11"/>
  <c r="G25" i="11"/>
  <c r="G26" i="11"/>
  <c r="G27" i="11"/>
  <c r="G28" i="11"/>
  <c r="G29" i="11"/>
  <c r="L10" i="4"/>
  <c r="L9" i="4"/>
  <c r="C15" i="11"/>
  <c r="G15" i="11"/>
  <c r="N1" i="4"/>
  <c r="G6" i="11" s="1"/>
  <c r="L2" i="4"/>
  <c r="L3" i="4"/>
  <c r="L4" i="4"/>
  <c r="L5" i="4"/>
  <c r="L6" i="4"/>
  <c r="L7" i="4"/>
  <c r="L8" i="4"/>
  <c r="G7" i="11"/>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s>
</file>

<file path=xl/sharedStrings.xml><?xml version="1.0" encoding="utf-8"?>
<sst xmlns="http://schemas.openxmlformats.org/spreadsheetml/2006/main" count="2197" uniqueCount="417">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</sst>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d/mm/yyyy;@"/>
    <numFmt numFmtId="165" formatCode="dd/mm/yyyy;@"/>
    <numFmt numFmtId="166" formatCode="[$-F400]h:mm:ss\ AM/PM"/>
    <numFmt numFmtId="167" formatCode="[$-409]m/d/yy\ h:mm\ AM/PM;@"/>
    <numFmt numFmtId="168" formatCode="d/mm/yyyy\ hh:mm\ AM/PM;"/>
    <numFmt numFmtId="172" formatCode="_-[$$-240A]\ * #,##0.00_-;\-[$$-240A]\ * #,##0.00_-;_-[$$-240A]\ * &quot;-&quot;??_-;_-@_-"/>
  </numFmts>
  <fonts count="15"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5">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s>
  <cellStyleXfs count="2">
    <xf numFmtId="0" fontId="0" fillId="0" borderId="0"/>
    <xf numFmtId="44" fontId="8" fillId="0" borderId="0" applyFont="0" applyFill="0" applyBorder="0" applyAlignment="0" applyProtection="0"/>
  </cellStyleXfs>
  <cellXfs count="76">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pivotButton="1" applyFont="1"/>
    <xf numFmtId="0" fontId="6" fillId="0" borderId="0" xfId="0" applyFont="1"/>
    <xf numFmtId="0" fontId="4" fillId="4" borderId="0" xfId="0" applyFont="1" applyFill="1" applyAlignment="1">
      <alignment vertical="center"/>
    </xf>
    <xf numFmtId="18" fontId="2" fillId="2" borderId="0" xfId="0" applyNumberFormat="1" applyFont="1" applyFill="1"/>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0" fontId="0" fillId="0" borderId="0" xfId="0" applyNumberFormat="1"/>
    <xf numFmtId="0" fontId="6" fillId="0" borderId="0" xfId="0" applyNumberFormat="1" applyFont="1"/>
    <xf numFmtId="2" fontId="6" fillId="0" borderId="0" xfId="0" applyNumberFormat="1" applyFont="1"/>
    <xf numFmtId="0" fontId="4" fillId="4" borderId="0" xfId="0" applyFont="1" applyFill="1" applyAlignment="1">
      <alignment horizontal="left"/>
    </xf>
    <xf numFmtId="0" fontId="0" fillId="0" borderId="0" xfId="0" applyBorder="1"/>
    <xf numFmtId="0" fontId="9" fillId="4" borderId="0" xfId="0" applyFont="1" applyFill="1" applyAlignment="1">
      <alignment horizontal="right"/>
    </xf>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3" fillId="0" borderId="0" xfId="0" applyFont="1" applyAlignment="1">
      <alignment horizontal="left" vertical="top" wrapText="1"/>
    </xf>
    <xf numFmtId="0" fontId="12" fillId="0" borderId="0" xfId="0" applyFont="1" applyFill="1" applyBorder="1" applyAlignment="1">
      <alignment horizontal="left"/>
    </xf>
    <xf numFmtId="0" fontId="12" fillId="0" borderId="0" xfId="0" applyNumberFormat="1" applyFont="1" applyBorder="1" applyAlignment="1">
      <alignment horizontal="right"/>
    </xf>
    <xf numFmtId="0" fontId="13" fillId="0" borderId="0" xfId="0" applyNumberFormat="1" applyFont="1" applyBorder="1" applyAlignment="1">
      <alignment horizontal="left"/>
    </xf>
    <xf numFmtId="0" fontId="13" fillId="0" borderId="0" xfId="0" applyNumberFormat="1" applyFont="1" applyBorder="1" applyAlignment="1">
      <alignment horizontal="right"/>
    </xf>
    <xf numFmtId="0" fontId="12" fillId="0" borderId="0" xfId="0" applyFont="1" applyBorder="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2" fillId="0" borderId="5" xfId="0" applyNumberFormat="1" applyFont="1" applyBorder="1" applyAlignment="1">
      <alignment horizontal="right"/>
    </xf>
    <xf numFmtId="0" fontId="13" fillId="0" borderId="6" xfId="0" applyNumberFormat="1" applyFont="1" applyBorder="1" applyAlignment="1">
      <alignment horizontal="right"/>
    </xf>
    <xf numFmtId="0" fontId="13" fillId="0" borderId="7" xfId="0" applyNumberFormat="1" applyFont="1" applyBorder="1" applyAlignment="1">
      <alignment horizontal="right"/>
    </xf>
    <xf numFmtId="0" fontId="12" fillId="0" borderId="5" xfId="0" applyFont="1" applyFill="1" applyBorder="1" applyAlignment="1">
      <alignment horizontal="left"/>
    </xf>
    <xf numFmtId="0" fontId="13" fillId="0" borderId="5" xfId="0" applyNumberFormat="1" applyFont="1" applyBorder="1" applyAlignment="1">
      <alignment horizontal="left"/>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0" fontId="6" fillId="0" borderId="0" xfId="0" applyFont="1" applyBorder="1"/>
    <xf numFmtId="0" fontId="7" fillId="0" borderId="0" xfId="0" applyFont="1" applyBorder="1" applyAlignment="1">
      <alignment horizontal="right" vertical="center"/>
    </xf>
    <xf numFmtId="0" fontId="7" fillId="0" borderId="0" xfId="0" applyFont="1" applyBorder="1" applyAlignment="1">
      <alignment horizontal="center" vertical="center"/>
    </xf>
    <xf numFmtId="0" fontId="14" fillId="0" borderId="0" xfId="0" applyFont="1" applyBorder="1" applyAlignment="1">
      <alignment horizontal="center"/>
    </xf>
    <xf numFmtId="0" fontId="14" fillId="0" borderId="4" xfId="0" applyFont="1" applyBorder="1" applyAlignment="1">
      <alignment horizontal="center"/>
    </xf>
    <xf numFmtId="44" fontId="6" fillId="0" borderId="0" xfId="1" applyFont="1"/>
    <xf numFmtId="172" fontId="6" fillId="0" borderId="0" xfId="1" applyNumberFormat="1" applyFont="1"/>
    <xf numFmtId="172" fontId="7" fillId="0" borderId="12" xfId="0" applyNumberFormat="1" applyFont="1" applyBorder="1" applyAlignment="1">
      <alignment horizontal="center" vertical="center"/>
    </xf>
    <xf numFmtId="172" fontId="7" fillId="0" borderId="13" xfId="0" applyNumberFormat="1" applyFont="1" applyBorder="1" applyAlignment="1">
      <alignment horizontal="center" vertical="center"/>
    </xf>
  </cellXfs>
  <cellStyles count="2">
    <cellStyle name="Currency" xfId="1" builtinId="4"/>
    <cellStyle name="Normal" xfId="0" builtinId="0"/>
  </cellStyles>
  <dxfs count="177">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11"/>
        <color theme="1"/>
        <name val="Century Gothic"/>
        <family val="2"/>
        <scheme val="none"/>
      </font>
      <numFmt numFmtId="172" formatCode="_-[$$-240A]\ * #,##0.00_-;\-[$$-240A]\ * #,##0.00_-;_-[$$-240A]\ * &quot;-&quot;??_-;_-@_-"/>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5" xr9:uid="{1BF65A6F-D747-4914-B2AA-8216F3FF0AA7}">
      <tableStyleElement type="wholeTable" dxfId="176"/>
      <tableStyleElement type="headerRow" dxfId="175"/>
      <tableStyleElement type="totalRow" dxfId="174"/>
      <tableStyleElement type="secondColumnSubheading" dxfId="173"/>
      <tableStyleElement type="thirdColumnSubheading" dxfId="172"/>
    </tableStyle>
    <tableStyle name="Plastisol-table" pivot="0" count="3" xr9:uid="{5296B5AC-FA0C-4B3D-9BE6-78D14EB57B17}">
      <tableStyleElement type="wholeTable" dxfId="2"/>
      <tableStyleElement type="headerRow" dxfId="1"/>
      <tableStyleElement type="totalRow" dxfId="0"/>
    </tableStyle>
    <tableStyle name="Slicer Style 1" pivot="0" table="0" count="6" xr9:uid="{F3533DD0-2237-47EA-B006-5DB17769F2AB}">
      <tableStyleElement type="wholeTable" dxfId="171"/>
      <tableStyleElement type="headerRow" dxfId="170"/>
    </tableStyle>
  </tableStyles>
  <colors>
    <mruColors>
      <color rgb="FFDFF6F5"/>
      <color rgb="FF2D9596"/>
      <color rgb="FFE5EFF7"/>
      <color rgb="FF265073"/>
      <color rgb="FF1B3931"/>
      <color rgb="FF9AD0C2"/>
      <color rgb="FFB7D1E7"/>
      <color rgb="FF84B1D6"/>
      <color rgb="FFFFFFFF"/>
      <color rgb="FFD2F2F2"/>
    </mruColors>
  </colors>
  <extLst>
    <ext xmlns:x14="http://schemas.microsoft.com/office/spreadsheetml/2009/9/main" uri="{46F421CA-312F-682f-3DD2-61675219B42D}">
      <x14:dxfs count="4">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2.xml"/><Relationship Id="rId19" Type="http://schemas.openxmlformats.org/officeDocument/2006/relationships/powerPivotData" Target="model/item.data"/><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125075" y="6096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1172825" y="6095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052546295" backgroundQuery="1" createdVersion="8" refreshedVersion="8" minRefreshableVersion="3" recordCount="0" supportSubquery="1" supportAdvancedDrill="1" xr:uid="{11B3C2EE-93A9-4D44-B6D5-7B3489BA4C7F}">
  <cacheSource type="external" connectionId="14"/>
  <cacheFields count="5">
    <cacheField name="[historico_movimientos].[fecha].[fecha]" caption="fecha" numFmtId="0" hierarchy="4" level="1">
      <sharedItems containsSemiMixedTypes="0" containsNonDate="0" containsDate="1" containsString="0" minDate="2023-10-19T00:00:00" maxDate="2024-01-12T00:00:00" count="5">
        <d v="2023-10-19T00:00:00"/>
        <d v="2023-10-20T00:00:00"/>
        <d v="2023-10-25T00:00:00"/>
        <d v="2023-11-25T00:00:00"/>
        <d v="2024-01-11T00:00:00"/>
      </sharedItems>
    </cacheField>
    <cacheField name="[historico_movimientos].[hora].[hora]" caption="hora" numFmtId="0" hierarchy="5" level="1">
      <sharedItems containsSemiMixedTypes="0" containsNonDate="0" containsDate="1" containsString="0" minDate="1899-12-30T08:00:00" maxDate="1899-12-30T08:00:00" count="1">
        <d v="1899-12-30T08:00:00"/>
      </sharedItems>
      <extLst>
        <ext xmlns:x15="http://schemas.microsoft.com/office/spreadsheetml/2010/11/main" uri="{4F2E5C28-24EA-4eb8-9CBF-B6C8F9C3D259}">
          <x15:cachedUniqueNames>
            <x15:cachedUniqueName index="0" name="[historico_movimientos].[hora].&amp;[1899-12-30T08:00:00]"/>
          </x15:cachedUniqueNames>
        </ext>
      </extLst>
    </cacheField>
    <cacheField name="[historico_movimientos].[categoria].[categoria]" caption="categoria" numFmtId="0" hierarchy="8" level="1">
      <sharedItems count="8">
        <s v="Bolsa Polipropileno"/>
        <s v="Bolsillo Aluminio"/>
        <s v="Mezclador"/>
        <s v="Palillo Bamboo"/>
        <s v="Papel Aluminio"/>
        <s v="Parafinado"/>
        <s v="PORTA"/>
        <s v="VINIPEL"/>
      </sharedItems>
    </cacheField>
    <cacheField name="[Measures].[Sum of unidades]" caption="Sum of unidades" numFmtId="0" hierarchy="24" level="32767"/>
    <cacheField name="[historico_movimientos].[descripcion].[descripcion]" caption="descripcion" numFmtId="0" hierarchy="7" level="1">
      <sharedItems count="88">
        <s v="Bolsa polipropileno 3  1/2 x20"/>
        <s v="Bolsa polipropileno 4x20"/>
        <s v="Bolsa polipropileno decorada 5x7"/>
        <s v="Bolsa polipropileno decorada 6x20"/>
        <s v="Bolsa polipropileno decorada 7x15"/>
        <s v="Bolsa polipropileno decorada 7x20"/>
        <s v="Bolsa polipropileno decorada 8x15"/>
        <s v="Bolsa polipropileno decorada 8x20"/>
        <s v="Bolsa polipropileno transp 10x16"/>
        <s v="Bolsa polipropileno transp 6x8"/>
        <s v="Bolsa polipropileno transp 8x15"/>
        <s v="Bolsa polipropileno transp 9x14"/>
        <s v="Bolsillo Aluminio L-17"/>
        <s v="Bolsillo Aluminio L-19"/>
        <s v="Bolsillo Aluminio L-21"/>
        <s v="Bolsillo Aluminio L-23"/>
        <s v="Bolsillo Aluminio L-25"/>
        <s v="Mezclador Negro"/>
        <s v="Palillo bamboo 25 cm grueso"/>
        <s v="Palillo bamboo 30 cm grueso"/>
        <s v="Palillo grande"/>
        <s v="Palillo pequenio"/>
        <s v="Papel Aluminio 100 metros"/>
        <s v="Papel Aluminio 16 metros"/>
        <s v="Papel Aluminio 40 metros"/>
        <s v="Papel Aluminio 7 metros"/>
        <s v="Parafinado 30x30 amarillo"/>
        <s v="Parafinado 30x30 azul"/>
        <s v="Parafinado 30x30 Bio disenio"/>
        <s v="Parafinado 30x30 Bio negro"/>
        <s v="Parafinado 30x30 Bio rojo"/>
        <s v="Parafinado 30x30 blanco"/>
        <s v="Parafinado 30x30 disenio"/>
        <s v="Parafinado 30x30 negro"/>
        <s v="Parafinado 30x30 rojo"/>
        <s v="Parafinado 30x30 verde"/>
        <s v="Parafinado 30x40 amarillo"/>
        <s v="Parafinado 30x40 azul"/>
        <s v="Parafinado 30x40 blanco"/>
        <s v="Parafinado 30x40 disenio rojo"/>
        <s v="Parafinado 30x40 negro"/>
        <s v="Parafinado 30x40 rojo"/>
        <s v="Parafinado 30x40 verde"/>
        <s v="Parafinado amarillo rollo 100 metros"/>
        <s v="Parafinado amarillo rollo 20 metros"/>
        <s v="Parafinado amarillo rollo 50 metros"/>
        <s v="Parafinado azul rollo 100 metros"/>
        <s v="Parafinado azul rollo 20 metros"/>
        <s v="Parafinado azul rollo 50 metros"/>
        <s v="Parafinado blanco rollo 100 metros"/>
        <s v="Parafinado blanco rollo 20 metros"/>
        <s v="Parafinado blanco rollo 50 metros"/>
        <s v="Parafinado Bolsillo hamburguesa"/>
        <s v="Parafinado Bolsillo naranja"/>
        <s v="Parafinado Bolsillo negro"/>
        <s v="Parafinado Bolsillo rojo"/>
        <s v="Parafinado Bolsillo rojo cuadrados grandes"/>
        <s v="Parafinado disenio cafe rollo 100 metros"/>
        <s v="Parafinado disenio cafe rollo 50 metros"/>
        <s v="Parafinado disenio rojo rollo 100 metros"/>
        <s v="Parafinado disenio rojo rollo 20 metros"/>
        <s v="Parafinado disenio rojo rollo 50 metros"/>
        <s v="Parafinado negro rollo 100 metros"/>
        <s v="Parafinado negro rollo 20 metros"/>
        <s v="Parafinado negro rollo 50 metros"/>
        <s v="Parafinado rojo rollo 100 metros"/>
        <s v="Parafinado rojo rollo 20 metros"/>
        <s v="Parafinado rojo rollo 50 metros"/>
        <s v="Parafinado verde rollo 100 metros"/>
        <s v="Parafinado verde rollo 20 metros"/>
        <s v="Parafinado verde rollo 50 metros"/>
        <s v="Porta arepa"/>
        <s v="Porta hamburguesa"/>
        <s v="Porta perro"/>
        <s v="Porta pizza"/>
        <s v="Vinipel alimento 100 metros"/>
        <s v="Vinipel alimento 200 metros"/>
        <s v="Vinipel alimento 300 metros"/>
        <s v="Vinipel alimento 50 metros"/>
        <s v="Vinipel alimento 500 metros"/>
        <s v="Vinipel stress 12x300"/>
        <s v="Vinipel stress 12x500"/>
        <s v="Vinipel stress 20x300"/>
        <s v="Vinipel stress 20x500"/>
        <s v="Vinipel stress 5x300"/>
        <s v="Vinipel stress 6x300"/>
        <s v="Vinipel stress 6x500"/>
        <s v="Vinipel stress 8x500"/>
      </sharedItems>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2" memberValueDatatype="130" unbalanced="0"/>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773842591"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26"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2"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2.735103009261" backgroundQuery="1" createdVersion="3" refreshedVersion="8" minRefreshableVersion="3" recordCount="0" supportSubquery="1" supportAdvancedDrill="1" xr:uid="{75E6E95F-1C9D-48A9-95A1-CB7145428EF1}">
  <cacheSource type="external" connectionId="14">
    <extLst>
      <ext xmlns:x14="http://schemas.microsoft.com/office/spreadsheetml/2009/9/main" uri="{F057638F-6D5F-4e77-A914-E7F072B9BCA8}">
        <x14:sourceConnection name="ThisWorkbookDataModel"/>
      </ext>
    </extLst>
  </cacheSource>
  <cacheFields count="0"/>
  <cacheHierarchies count="27">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4993988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0"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02" firstHeaderRow="1" firstDataRow="1" firstDataCol="4"/>
  <pivotFields count="5">
    <pivotField axis="axisRow" compact="0" allDrilled="1" outline="0" subtotalTop="0" showAll="0" sortType="ascending"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s>
  <rowFields count="4">
    <field x="0"/>
    <field x="1"/>
    <field x="2"/>
    <field x="4"/>
  </rowFields>
  <rowItems count="95">
    <i>
      <x/>
      <x/>
      <x/>
      <x/>
    </i>
    <i r="3">
      <x v="1"/>
    </i>
    <i r="3">
      <x v="2"/>
    </i>
    <i r="3">
      <x v="3"/>
    </i>
    <i r="3">
      <x v="4"/>
    </i>
    <i r="3">
      <x v="5"/>
    </i>
    <i r="3">
      <x v="6"/>
    </i>
    <i r="3">
      <x v="7"/>
    </i>
    <i r="3">
      <x v="8"/>
    </i>
    <i r="3">
      <x v="9"/>
    </i>
    <i r="3">
      <x v="10"/>
    </i>
    <i r="3">
      <x v="11"/>
    </i>
    <i r="2">
      <x v="1"/>
      <x v="12"/>
    </i>
    <i r="3">
      <x v="13"/>
    </i>
    <i r="3">
      <x v="14"/>
    </i>
    <i r="3">
      <x v="15"/>
    </i>
    <i r="3">
      <x v="16"/>
    </i>
    <i r="2">
      <x v="2"/>
      <x v="17"/>
    </i>
    <i r="2">
      <x v="3"/>
      <x v="18"/>
    </i>
    <i r="3">
      <x v="19"/>
    </i>
    <i r="3">
      <x v="20"/>
    </i>
    <i r="3">
      <x v="21"/>
    </i>
    <i r="2">
      <x v="4"/>
      <x v="22"/>
    </i>
    <i r="3">
      <x v="23"/>
    </i>
    <i r="3">
      <x v="24"/>
    </i>
    <i r="3">
      <x v="25"/>
    </i>
    <i r="2">
      <x v="5"/>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2">
      <x v="6"/>
      <x v="71"/>
    </i>
    <i r="3">
      <x v="72"/>
    </i>
    <i r="3">
      <x v="73"/>
    </i>
    <i r="3">
      <x v="74"/>
    </i>
    <i r="2">
      <x v="7"/>
      <x v="75"/>
    </i>
    <i r="3">
      <x v="76"/>
    </i>
    <i r="3">
      <x v="77"/>
    </i>
    <i r="3">
      <x v="78"/>
    </i>
    <i r="3">
      <x v="79"/>
    </i>
    <i r="3">
      <x v="80"/>
    </i>
    <i r="3">
      <x v="81"/>
    </i>
    <i r="3">
      <x v="82"/>
    </i>
    <i r="3">
      <x v="83"/>
    </i>
    <i r="3">
      <x v="84"/>
    </i>
    <i r="3">
      <x v="85"/>
    </i>
    <i r="3">
      <x v="86"/>
    </i>
    <i r="3">
      <x v="87"/>
    </i>
    <i>
      <x v="1"/>
      <x/>
      <x v="5"/>
      <x v="65"/>
    </i>
    <i>
      <x v="2"/>
      <x/>
      <x v="5"/>
      <x v="65"/>
    </i>
    <i>
      <x v="3"/>
      <x/>
      <x v="5"/>
      <x v="62"/>
    </i>
    <i r="3">
      <x v="65"/>
    </i>
    <i>
      <x v="4"/>
      <x/>
      <x v="5"/>
      <x v="62"/>
    </i>
    <i r="3">
      <x v="65"/>
    </i>
    <i t="grand">
      <x/>
    </i>
  </rowItems>
  <colItems count="1">
    <i/>
  </colItems>
  <dataFields count="1">
    <dataField name="Sum of unidades" fld="3" baseField="0" baseItem="0"/>
  </dataFields>
  <conditionalFormats count="3">
    <conditionalFormat scope="data" priority="7">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0"/>
            </reference>
          </references>
        </pivotArea>
      </pivotAreas>
    </conditionalFormat>
  </conditionalFormats>
  <pivotHierarchies count="27">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1"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6"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89">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9">
      <pivotArea type="all" dataOnly="0" outline="0" fieldPosition="0"/>
    </format>
    <format dxfId="168">
      <pivotArea outline="0" collapsedLevelsAreSubtotals="1" fieldPosition="0"/>
    </format>
    <format dxfId="167">
      <pivotArea field="2" type="button" dataOnly="0" labelOnly="1" outline="0" axis="axisRow" fieldPosition="0"/>
    </format>
    <format dxfId="166">
      <pivotArea field="0" type="button" dataOnly="0" labelOnly="1" outline="0" axis="axisRow" fieldPosition="1"/>
    </format>
    <format dxfId="165">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4">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63">
      <pivotArea dataOnly="0" labelOnly="1" grandRow="1" outline="0" fieldPosition="0"/>
    </format>
    <format dxfId="162">
      <pivotArea dataOnly="0" labelOnly="1" outline="0" fieldPosition="0">
        <references count="2">
          <reference field="0" count="1">
            <x v="0"/>
          </reference>
          <reference field="2" count="1" selected="0">
            <x v="0"/>
          </reference>
        </references>
      </pivotArea>
    </format>
    <format dxfId="161">
      <pivotArea dataOnly="0" labelOnly="1" outline="0" fieldPosition="0">
        <references count="2">
          <reference field="0" count="1">
            <x v="1"/>
          </reference>
          <reference field="2" count="1" selected="0">
            <x v="1"/>
          </reference>
        </references>
      </pivotArea>
    </format>
    <format dxfId="160">
      <pivotArea dataOnly="0" labelOnly="1" outline="0" fieldPosition="0">
        <references count="2">
          <reference field="0" count="1">
            <x v="2"/>
          </reference>
          <reference field="2" count="1" selected="0">
            <x v="2"/>
          </reference>
        </references>
      </pivotArea>
    </format>
    <format dxfId="159">
      <pivotArea dataOnly="0" labelOnly="1" outline="0" fieldPosition="0">
        <references count="2">
          <reference field="0" count="1">
            <x v="3"/>
          </reference>
          <reference field="2" count="1" selected="0">
            <x v="3"/>
          </reference>
        </references>
      </pivotArea>
    </format>
    <format dxfId="158">
      <pivotArea dataOnly="0" labelOnly="1" outline="0" fieldPosition="0">
        <references count="2">
          <reference field="0" count="1">
            <x v="4"/>
          </reference>
          <reference field="2" count="1" selected="0">
            <x v="4"/>
          </reference>
        </references>
      </pivotArea>
    </format>
    <format dxfId="157">
      <pivotArea dataOnly="0" labelOnly="1" outline="0" fieldPosition="0">
        <references count="2">
          <reference field="0" count="1">
            <x v="5"/>
          </reference>
          <reference field="2" count="1" selected="0">
            <x v="5"/>
          </reference>
        </references>
      </pivotArea>
    </format>
    <format dxfId="156">
      <pivotArea dataOnly="0" labelOnly="1" outline="0" fieldPosition="0">
        <references count="2">
          <reference field="0" count="1">
            <x v="6"/>
          </reference>
          <reference field="2" count="1" selected="0">
            <x v="6"/>
          </reference>
        </references>
      </pivotArea>
    </format>
    <format dxfId="155">
      <pivotArea dataOnly="0" labelOnly="1" outline="0" fieldPosition="0">
        <references count="2">
          <reference field="0" count="1">
            <x v="7"/>
          </reference>
          <reference field="2" count="1" selected="0">
            <x v="7"/>
          </reference>
        </references>
      </pivotArea>
    </format>
    <format dxfId="154">
      <pivotArea dataOnly="0" labelOnly="1" outline="0" fieldPosition="0">
        <references count="2">
          <reference field="0" count="1">
            <x v="8"/>
          </reference>
          <reference field="2" count="1" selected="0">
            <x v="8"/>
          </reference>
        </references>
      </pivotArea>
    </format>
    <format dxfId="153">
      <pivotArea dataOnly="0" labelOnly="1" outline="0" fieldPosition="0">
        <references count="2">
          <reference field="0" count="1">
            <x v="9"/>
          </reference>
          <reference field="2" count="1" selected="0">
            <x v="9"/>
          </reference>
        </references>
      </pivotArea>
    </format>
    <format dxfId="152">
      <pivotArea dataOnly="0" labelOnly="1" outline="0" fieldPosition="0">
        <references count="2">
          <reference field="0" count="1">
            <x v="10"/>
          </reference>
          <reference field="2" count="1" selected="0">
            <x v="10"/>
          </reference>
        </references>
      </pivotArea>
    </format>
    <format dxfId="151">
      <pivotArea dataOnly="0" labelOnly="1" outline="0" fieldPosition="0">
        <references count="2">
          <reference field="0" count="1">
            <x v="11"/>
          </reference>
          <reference field="2" count="1" selected="0">
            <x v="11"/>
          </reference>
        </references>
      </pivotArea>
    </format>
    <format dxfId="150">
      <pivotArea dataOnly="0" labelOnly="1" outline="0" fieldPosition="0">
        <references count="2">
          <reference field="0" count="1">
            <x v="12"/>
          </reference>
          <reference field="2" count="1" selected="0">
            <x v="12"/>
          </reference>
        </references>
      </pivotArea>
    </format>
    <format dxfId="149">
      <pivotArea dataOnly="0" labelOnly="1" outline="0" fieldPosition="0">
        <references count="2">
          <reference field="0" count="1">
            <x v="13"/>
          </reference>
          <reference field="2" count="1" selected="0">
            <x v="13"/>
          </reference>
        </references>
      </pivotArea>
    </format>
    <format dxfId="148">
      <pivotArea dataOnly="0" labelOnly="1" outline="0" fieldPosition="0">
        <references count="2">
          <reference field="0" count="1">
            <x v="14"/>
          </reference>
          <reference field="2" count="1" selected="0">
            <x v="14"/>
          </reference>
        </references>
      </pivotArea>
    </format>
    <format dxfId="147">
      <pivotArea dataOnly="0" labelOnly="1" outline="0" fieldPosition="0">
        <references count="2">
          <reference field="0" count="1">
            <x v="15"/>
          </reference>
          <reference field="2" count="1" selected="0">
            <x v="15"/>
          </reference>
        </references>
      </pivotArea>
    </format>
    <format dxfId="146">
      <pivotArea dataOnly="0" labelOnly="1" outline="0" fieldPosition="0">
        <references count="2">
          <reference field="0" count="1">
            <x v="16"/>
          </reference>
          <reference field="2" count="1" selected="0">
            <x v="16"/>
          </reference>
        </references>
      </pivotArea>
    </format>
    <format dxfId="145">
      <pivotArea dataOnly="0" labelOnly="1" outline="0" fieldPosition="0">
        <references count="2">
          <reference field="0" count="1">
            <x v="17"/>
          </reference>
          <reference field="2" count="1" selected="0">
            <x v="17"/>
          </reference>
        </references>
      </pivotArea>
    </format>
    <format dxfId="144">
      <pivotArea dataOnly="0" labelOnly="1" outline="0" fieldPosition="0">
        <references count="2">
          <reference field="0" count="1">
            <x v="18"/>
          </reference>
          <reference field="2" count="1" selected="0">
            <x v="18"/>
          </reference>
        </references>
      </pivotArea>
    </format>
    <format dxfId="143">
      <pivotArea dataOnly="0" labelOnly="1" outline="0" fieldPosition="0">
        <references count="2">
          <reference field="0" count="1">
            <x v="19"/>
          </reference>
          <reference field="2" count="1" selected="0">
            <x v="19"/>
          </reference>
        </references>
      </pivotArea>
    </format>
    <format dxfId="142">
      <pivotArea dataOnly="0" labelOnly="1" outline="0" fieldPosition="0">
        <references count="2">
          <reference field="0" count="1">
            <x v="20"/>
          </reference>
          <reference field="2" count="1" selected="0">
            <x v="20"/>
          </reference>
        </references>
      </pivotArea>
    </format>
    <format dxfId="141">
      <pivotArea dataOnly="0" labelOnly="1" outline="0" fieldPosition="0">
        <references count="2">
          <reference field="0" count="1">
            <x v="21"/>
          </reference>
          <reference field="2" count="1" selected="0">
            <x v="21"/>
          </reference>
        </references>
      </pivotArea>
    </format>
    <format dxfId="140">
      <pivotArea dataOnly="0" labelOnly="1" outline="0" fieldPosition="0">
        <references count="2">
          <reference field="0" count="1">
            <x v="22"/>
          </reference>
          <reference field="2" count="1" selected="0">
            <x v="22"/>
          </reference>
        </references>
      </pivotArea>
    </format>
    <format dxfId="139">
      <pivotArea dataOnly="0" labelOnly="1" outline="0" fieldPosition="0">
        <references count="2">
          <reference field="0" count="1">
            <x v="23"/>
          </reference>
          <reference field="2" count="1" selected="0">
            <x v="23"/>
          </reference>
        </references>
      </pivotArea>
    </format>
    <format dxfId="138">
      <pivotArea dataOnly="0" labelOnly="1" outline="0" fieldPosition="0">
        <references count="2">
          <reference field="0" count="1">
            <x v="24"/>
          </reference>
          <reference field="2" count="1" selected="0">
            <x v="24"/>
          </reference>
        </references>
      </pivotArea>
    </format>
    <format dxfId="137">
      <pivotArea dataOnly="0" labelOnly="1" outline="0" fieldPosition="0">
        <references count="2">
          <reference field="0" count="1">
            <x v="25"/>
          </reference>
          <reference field="2" count="1" selected="0">
            <x v="25"/>
          </reference>
        </references>
      </pivotArea>
    </format>
    <format dxfId="136">
      <pivotArea dataOnly="0" labelOnly="1" outline="0" fieldPosition="0">
        <references count="2">
          <reference field="0" count="1">
            <x v="26"/>
          </reference>
          <reference field="2" count="1" selected="0">
            <x v="26"/>
          </reference>
        </references>
      </pivotArea>
    </format>
    <format dxfId="135">
      <pivotArea dataOnly="0" labelOnly="1" outline="0" fieldPosition="0">
        <references count="2">
          <reference field="0" count="1">
            <x v="27"/>
          </reference>
          <reference field="2" count="1" selected="0">
            <x v="27"/>
          </reference>
        </references>
      </pivotArea>
    </format>
    <format dxfId="134">
      <pivotArea dataOnly="0" labelOnly="1" outline="0" fieldPosition="0">
        <references count="2">
          <reference field="0" count="1">
            <x v="28"/>
          </reference>
          <reference field="2" count="1" selected="0">
            <x v="28"/>
          </reference>
        </references>
      </pivotArea>
    </format>
    <format dxfId="133">
      <pivotArea dataOnly="0" labelOnly="1" outline="0" fieldPosition="0">
        <references count="2">
          <reference field="0" count="1">
            <x v="29"/>
          </reference>
          <reference field="2" count="1" selected="0">
            <x v="29"/>
          </reference>
        </references>
      </pivotArea>
    </format>
    <format dxfId="132">
      <pivotArea dataOnly="0" labelOnly="1" outline="0" fieldPosition="0">
        <references count="2">
          <reference field="0" count="1">
            <x v="30"/>
          </reference>
          <reference field="2" count="1" selected="0">
            <x v="30"/>
          </reference>
        </references>
      </pivotArea>
    </format>
    <format dxfId="131">
      <pivotArea dataOnly="0" labelOnly="1" outline="0" fieldPosition="0">
        <references count="2">
          <reference field="0" count="1">
            <x v="31"/>
          </reference>
          <reference field="2" count="1" selected="0">
            <x v="31"/>
          </reference>
        </references>
      </pivotArea>
    </format>
    <format dxfId="130">
      <pivotArea dataOnly="0" labelOnly="1" outline="0" fieldPosition="0">
        <references count="2">
          <reference field="0" count="1">
            <x v="32"/>
          </reference>
          <reference field="2" count="1" selected="0">
            <x v="32"/>
          </reference>
        </references>
      </pivotArea>
    </format>
    <format dxfId="129">
      <pivotArea dataOnly="0" labelOnly="1" outline="0" fieldPosition="0">
        <references count="2">
          <reference field="0" count="1">
            <x v="33"/>
          </reference>
          <reference field="2" count="1" selected="0">
            <x v="33"/>
          </reference>
        </references>
      </pivotArea>
    </format>
    <format dxfId="128">
      <pivotArea dataOnly="0" labelOnly="1" outline="0" fieldPosition="0">
        <references count="2">
          <reference field="0" count="1">
            <x v="34"/>
          </reference>
          <reference field="2" count="1" selected="0">
            <x v="34"/>
          </reference>
        </references>
      </pivotArea>
    </format>
    <format dxfId="127">
      <pivotArea dataOnly="0" labelOnly="1" outline="0" fieldPosition="0">
        <references count="2">
          <reference field="0" count="1">
            <x v="35"/>
          </reference>
          <reference field="2" count="1" selected="0">
            <x v="35"/>
          </reference>
        </references>
      </pivotArea>
    </format>
    <format dxfId="126">
      <pivotArea dataOnly="0" labelOnly="1" outline="0" fieldPosition="0">
        <references count="2">
          <reference field="0" count="1">
            <x v="36"/>
          </reference>
          <reference field="2" count="1" selected="0">
            <x v="36"/>
          </reference>
        </references>
      </pivotArea>
    </format>
    <format dxfId="125">
      <pivotArea dataOnly="0" labelOnly="1" outline="0" fieldPosition="0">
        <references count="2">
          <reference field="0" count="1">
            <x v="37"/>
          </reference>
          <reference field="2" count="1" selected="0">
            <x v="37"/>
          </reference>
        </references>
      </pivotArea>
    </format>
    <format dxfId="124">
      <pivotArea dataOnly="0" labelOnly="1" outline="0" fieldPosition="0">
        <references count="2">
          <reference field="0" count="1">
            <x v="38"/>
          </reference>
          <reference field="2" count="1" selected="0">
            <x v="38"/>
          </reference>
        </references>
      </pivotArea>
    </format>
    <format dxfId="123">
      <pivotArea dataOnly="0" labelOnly="1" outline="0" fieldPosition="0">
        <references count="2">
          <reference field="0" count="1">
            <x v="39"/>
          </reference>
          <reference field="2" count="1" selected="0">
            <x v="39"/>
          </reference>
        </references>
      </pivotArea>
    </format>
    <format dxfId="122">
      <pivotArea dataOnly="0" labelOnly="1" outline="0" fieldPosition="0">
        <references count="2">
          <reference field="0" count="1">
            <x v="40"/>
          </reference>
          <reference field="2" count="1" selected="0">
            <x v="40"/>
          </reference>
        </references>
      </pivotArea>
    </format>
    <format dxfId="121">
      <pivotArea dataOnly="0" labelOnly="1" outline="0" fieldPosition="0">
        <references count="2">
          <reference field="0" count="1">
            <x v="41"/>
          </reference>
          <reference field="2" count="1" selected="0">
            <x v="41"/>
          </reference>
        </references>
      </pivotArea>
    </format>
    <format dxfId="120">
      <pivotArea dataOnly="0" labelOnly="1" outline="0" fieldPosition="0">
        <references count="2">
          <reference field="0" count="1">
            <x v="42"/>
          </reference>
          <reference field="2" count="1" selected="0">
            <x v="42"/>
          </reference>
        </references>
      </pivotArea>
    </format>
    <format dxfId="119">
      <pivotArea dataOnly="0" labelOnly="1" outline="0" fieldPosition="0">
        <references count="2">
          <reference field="0" count="1">
            <x v="43"/>
          </reference>
          <reference field="2" count="1" selected="0">
            <x v="43"/>
          </reference>
        </references>
      </pivotArea>
    </format>
    <format dxfId="118">
      <pivotArea dataOnly="0" labelOnly="1" outline="0" fieldPosition="0">
        <references count="2">
          <reference field="0" count="1">
            <x v="44"/>
          </reference>
          <reference field="2" count="1" selected="0">
            <x v="44"/>
          </reference>
        </references>
      </pivotArea>
    </format>
    <format dxfId="117">
      <pivotArea dataOnly="0" labelOnly="1" outline="0" fieldPosition="0">
        <references count="2">
          <reference field="0" count="1">
            <x v="45"/>
          </reference>
          <reference field="2" count="1" selected="0">
            <x v="45"/>
          </reference>
        </references>
      </pivotArea>
    </format>
    <format dxfId="116">
      <pivotArea dataOnly="0" labelOnly="1" outline="0" fieldPosition="0">
        <references count="2">
          <reference field="0" count="1">
            <x v="46"/>
          </reference>
          <reference field="2" count="1" selected="0">
            <x v="46"/>
          </reference>
        </references>
      </pivotArea>
    </format>
    <format dxfId="115">
      <pivotArea dataOnly="0" labelOnly="1" outline="0" fieldPosition="0">
        <references count="2">
          <reference field="0" count="1">
            <x v="47"/>
          </reference>
          <reference field="2" count="1" selected="0">
            <x v="47"/>
          </reference>
        </references>
      </pivotArea>
    </format>
    <format dxfId="114">
      <pivotArea dataOnly="0" labelOnly="1" outline="0" fieldPosition="0">
        <references count="2">
          <reference field="0" count="1">
            <x v="48"/>
          </reference>
          <reference field="2" count="1" selected="0">
            <x v="48"/>
          </reference>
        </references>
      </pivotArea>
    </format>
    <format dxfId="113">
      <pivotArea dataOnly="0" labelOnly="1" outline="0" fieldPosition="0">
        <references count="2">
          <reference field="0" count="1">
            <x v="49"/>
          </reference>
          <reference field="2" count="1" selected="0">
            <x v="49"/>
          </reference>
        </references>
      </pivotArea>
    </format>
    <format dxfId="112">
      <pivotArea dataOnly="0" labelOnly="1" outline="0" fieldPosition="0">
        <references count="2">
          <reference field="0" count="1">
            <x v="50"/>
          </reference>
          <reference field="2" count="1" selected="0">
            <x v="50"/>
          </reference>
        </references>
      </pivotArea>
    </format>
    <format dxfId="111">
      <pivotArea dataOnly="0" labelOnly="1" outline="0" fieldPosition="0">
        <references count="2">
          <reference field="0" count="1">
            <x v="51"/>
          </reference>
          <reference field="2" count="1" selected="0">
            <x v="51"/>
          </reference>
        </references>
      </pivotArea>
    </format>
    <format dxfId="110">
      <pivotArea dataOnly="0" labelOnly="1" outline="0" fieldPosition="0">
        <references count="2">
          <reference field="0" count="1">
            <x v="52"/>
          </reference>
          <reference field="2" count="1" selected="0">
            <x v="52"/>
          </reference>
        </references>
      </pivotArea>
    </format>
    <format dxfId="109">
      <pivotArea dataOnly="0" labelOnly="1" outline="0" fieldPosition="0">
        <references count="2">
          <reference field="0" count="1">
            <x v="53"/>
          </reference>
          <reference field="2" count="1" selected="0">
            <x v="53"/>
          </reference>
        </references>
      </pivotArea>
    </format>
    <format dxfId="108">
      <pivotArea dataOnly="0" labelOnly="1" outline="0" fieldPosition="0">
        <references count="2">
          <reference field="0" count="1">
            <x v="54"/>
          </reference>
          <reference field="2" count="1" selected="0">
            <x v="54"/>
          </reference>
        </references>
      </pivotArea>
    </format>
    <format dxfId="107">
      <pivotArea dataOnly="0" labelOnly="1" outline="0" fieldPosition="0">
        <references count="2">
          <reference field="0" count="1">
            <x v="55"/>
          </reference>
          <reference field="2" count="1" selected="0">
            <x v="55"/>
          </reference>
        </references>
      </pivotArea>
    </format>
    <format dxfId="106">
      <pivotArea dataOnly="0" labelOnly="1" outline="0" fieldPosition="0">
        <references count="2">
          <reference field="0" count="1">
            <x v="56"/>
          </reference>
          <reference field="2" count="1" selected="0">
            <x v="56"/>
          </reference>
        </references>
      </pivotArea>
    </format>
    <format dxfId="105">
      <pivotArea dataOnly="0" labelOnly="1" outline="0" fieldPosition="0">
        <references count="2">
          <reference field="0" count="1">
            <x v="57"/>
          </reference>
          <reference field="2" count="1" selected="0">
            <x v="57"/>
          </reference>
        </references>
      </pivotArea>
    </format>
    <format dxfId="104">
      <pivotArea dataOnly="0" labelOnly="1" outline="0" fieldPosition="0">
        <references count="2">
          <reference field="0" count="1">
            <x v="58"/>
          </reference>
          <reference field="2" count="1" selected="0">
            <x v="58"/>
          </reference>
        </references>
      </pivotArea>
    </format>
    <format dxfId="103">
      <pivotArea dataOnly="0" labelOnly="1" outline="0" fieldPosition="0">
        <references count="2">
          <reference field="0" count="1">
            <x v="59"/>
          </reference>
          <reference field="2" count="1" selected="0">
            <x v="59"/>
          </reference>
        </references>
      </pivotArea>
    </format>
    <format dxfId="102">
      <pivotArea dataOnly="0" labelOnly="1" outline="0" fieldPosition="0">
        <references count="2">
          <reference field="0" count="1">
            <x v="60"/>
          </reference>
          <reference field="2" count="1" selected="0">
            <x v="60"/>
          </reference>
        </references>
      </pivotArea>
    </format>
    <format dxfId="101">
      <pivotArea dataOnly="0" labelOnly="1" outline="0" fieldPosition="0">
        <references count="2">
          <reference field="0" count="1">
            <x v="61"/>
          </reference>
          <reference field="2" count="1" selected="0">
            <x v="61"/>
          </reference>
        </references>
      </pivotArea>
    </format>
    <format dxfId="100">
      <pivotArea dataOnly="0" labelOnly="1" outline="0" fieldPosition="0">
        <references count="2">
          <reference field="0" count="1">
            <x v="62"/>
          </reference>
          <reference field="2" count="1" selected="0">
            <x v="62"/>
          </reference>
        </references>
      </pivotArea>
    </format>
    <format dxfId="99">
      <pivotArea dataOnly="0" labelOnly="1" outline="0" fieldPosition="0">
        <references count="2">
          <reference field="0" count="1">
            <x v="63"/>
          </reference>
          <reference field="2" count="1" selected="0">
            <x v="63"/>
          </reference>
        </references>
      </pivotArea>
    </format>
    <format dxfId="98">
      <pivotArea dataOnly="0" labelOnly="1" outline="0" fieldPosition="0">
        <references count="2">
          <reference field="0" count="1">
            <x v="64"/>
          </reference>
          <reference field="2" count="1" selected="0">
            <x v="64"/>
          </reference>
        </references>
      </pivotArea>
    </format>
    <format dxfId="97">
      <pivotArea dataOnly="0" labelOnly="1" outline="0" fieldPosition="0">
        <references count="2">
          <reference field="0" count="1">
            <x v="65"/>
          </reference>
          <reference field="2" count="1" selected="0">
            <x v="65"/>
          </reference>
        </references>
      </pivotArea>
    </format>
    <format dxfId="96">
      <pivotArea dataOnly="0" labelOnly="1" outline="0" fieldPosition="0">
        <references count="2">
          <reference field="0" count="1">
            <x v="66"/>
          </reference>
          <reference field="2" count="1" selected="0">
            <x v="66"/>
          </reference>
        </references>
      </pivotArea>
    </format>
    <format dxfId="95">
      <pivotArea dataOnly="0" labelOnly="1" outline="0" fieldPosition="0">
        <references count="2">
          <reference field="0" count="1">
            <x v="67"/>
          </reference>
          <reference field="2" count="1" selected="0">
            <x v="67"/>
          </reference>
        </references>
      </pivotArea>
    </format>
    <format dxfId="94">
      <pivotArea dataOnly="0" labelOnly="1" outline="0" fieldPosition="0">
        <references count="2">
          <reference field="0" count="1">
            <x v="68"/>
          </reference>
          <reference field="2" count="1" selected="0">
            <x v="68"/>
          </reference>
        </references>
      </pivotArea>
    </format>
    <format dxfId="93">
      <pivotArea dataOnly="0" labelOnly="1" outline="0" fieldPosition="0">
        <references count="2">
          <reference field="0" count="1">
            <x v="69"/>
          </reference>
          <reference field="2" count="1" selected="0">
            <x v="69"/>
          </reference>
        </references>
      </pivotArea>
    </format>
    <format dxfId="92">
      <pivotArea dataOnly="0" labelOnly="1" outline="0" fieldPosition="0">
        <references count="2">
          <reference field="0" count="1">
            <x v="70"/>
          </reference>
          <reference field="2" count="1" selected="0">
            <x v="70"/>
          </reference>
        </references>
      </pivotArea>
    </format>
    <format dxfId="91">
      <pivotArea dataOnly="0" labelOnly="1" outline="0" fieldPosition="0">
        <references count="2">
          <reference field="0" count="1">
            <x v="71"/>
          </reference>
          <reference field="2" count="1" selected="0">
            <x v="71"/>
          </reference>
        </references>
      </pivotArea>
    </format>
    <format dxfId="90">
      <pivotArea dataOnly="0" labelOnly="1" outline="0" fieldPosition="0">
        <references count="2">
          <reference field="0" count="1">
            <x v="72"/>
          </reference>
          <reference field="2" count="1" selected="0">
            <x v="72"/>
          </reference>
        </references>
      </pivotArea>
    </format>
    <format dxfId="89">
      <pivotArea dataOnly="0" labelOnly="1" outline="0" fieldPosition="0">
        <references count="2">
          <reference field="0" count="1">
            <x v="73"/>
          </reference>
          <reference field="2" count="1" selected="0">
            <x v="73"/>
          </reference>
        </references>
      </pivotArea>
    </format>
    <format dxfId="88">
      <pivotArea dataOnly="0" labelOnly="1" outline="0" fieldPosition="0">
        <references count="2">
          <reference field="0" count="1">
            <x v="74"/>
          </reference>
          <reference field="2" count="1" selected="0">
            <x v="74"/>
          </reference>
        </references>
      </pivotArea>
    </format>
    <format dxfId="87">
      <pivotArea dataOnly="0" labelOnly="1" outline="0" fieldPosition="0">
        <references count="2">
          <reference field="0" count="1">
            <x v="75"/>
          </reference>
          <reference field="2" count="1" selected="0">
            <x v="75"/>
          </reference>
        </references>
      </pivotArea>
    </format>
    <format dxfId="86">
      <pivotArea dataOnly="0" labelOnly="1" outline="0" fieldPosition="0">
        <references count="2">
          <reference field="0" count="1">
            <x v="76"/>
          </reference>
          <reference field="2" count="1" selected="0">
            <x v="76"/>
          </reference>
        </references>
      </pivotArea>
    </format>
    <format dxfId="85">
      <pivotArea dataOnly="0" labelOnly="1" outline="0" fieldPosition="0">
        <references count="2">
          <reference field="0" count="1">
            <x v="77"/>
          </reference>
          <reference field="2" count="1" selected="0">
            <x v="77"/>
          </reference>
        </references>
      </pivotArea>
    </format>
    <format dxfId="84">
      <pivotArea dataOnly="0" labelOnly="1" outline="0" fieldPosition="0">
        <references count="2">
          <reference field="0" count="1">
            <x v="78"/>
          </reference>
          <reference field="2" count="1" selected="0">
            <x v="78"/>
          </reference>
        </references>
      </pivotArea>
    </format>
    <format dxfId="83">
      <pivotArea dataOnly="0" labelOnly="1" outline="0" fieldPosition="0">
        <references count="2">
          <reference field="0" count="1">
            <x v="79"/>
          </reference>
          <reference field="2" count="1" selected="0">
            <x v="79"/>
          </reference>
        </references>
      </pivotArea>
    </format>
    <format dxfId="82">
      <pivotArea dataOnly="0" labelOnly="1" outline="0" fieldPosition="0">
        <references count="2">
          <reference field="0" count="1">
            <x v="80"/>
          </reference>
          <reference field="2" count="1" selected="0">
            <x v="80"/>
          </reference>
        </references>
      </pivotArea>
    </format>
    <format dxfId="81">
      <pivotArea dataOnly="0" labelOnly="1" outline="0" fieldPosition="0">
        <references count="2">
          <reference field="0" count="1">
            <x v="81"/>
          </reference>
          <reference field="2" count="1" selected="0">
            <x v="81"/>
          </reference>
        </references>
      </pivotArea>
    </format>
    <format dxfId="80">
      <pivotArea dataOnly="0" labelOnly="1" outline="0" fieldPosition="0">
        <references count="2">
          <reference field="0" count="1">
            <x v="82"/>
          </reference>
          <reference field="2" count="1" selected="0">
            <x v="82"/>
          </reference>
        </references>
      </pivotArea>
    </format>
    <format dxfId="79">
      <pivotArea dataOnly="0" labelOnly="1" outline="0" fieldPosition="0">
        <references count="2">
          <reference field="0" count="1">
            <x v="83"/>
          </reference>
          <reference field="2" count="1" selected="0">
            <x v="83"/>
          </reference>
        </references>
      </pivotArea>
    </format>
    <format dxfId="78">
      <pivotArea dataOnly="0" labelOnly="1" outline="0" fieldPosition="0">
        <references count="2">
          <reference field="0" count="1">
            <x v="84"/>
          </reference>
          <reference field="2" count="1" selected="0">
            <x v="84"/>
          </reference>
        </references>
      </pivotArea>
    </format>
    <format dxfId="77">
      <pivotArea dataOnly="0" labelOnly="1" outline="0" fieldPosition="0">
        <references count="2">
          <reference field="0" count="1">
            <x v="85"/>
          </reference>
          <reference field="2" count="1" selected="0">
            <x v="85"/>
          </reference>
        </references>
      </pivotArea>
    </format>
    <format dxfId="76">
      <pivotArea dataOnly="0" labelOnly="1" outline="0" fieldPosition="0">
        <references count="2">
          <reference field="0" count="1">
            <x v="86"/>
          </reference>
          <reference field="2" count="1" selected="0">
            <x v="86"/>
          </reference>
        </references>
      </pivotArea>
    </format>
    <format dxfId="75">
      <pivotArea dataOnly="0" labelOnly="1" outline="0" fieldPosition="0">
        <references count="2">
          <reference field="0" count="1">
            <x v="87"/>
          </reference>
          <reference field="2" count="1" selected="0">
            <x v="87"/>
          </reference>
        </references>
      </pivotArea>
    </format>
    <format dxfId="74">
      <pivotArea dataOnly="0" labelOnly="1" outline="0" axis="axisValues" fieldPosition="0"/>
    </format>
  </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249939889">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249939889">
      <levels count="2">
        <level uniqueName="[historico_movimientos].[fecha].[(All)]" sourceCaption="(All)" count="0"/>
        <level uniqueName="[historico_movimientos].[fecha].[fecha]" sourceCaption="fecha" count="5">
          <ranges>
            <range startItem="0">
              <i n="[historico_movimientos].[fecha].&amp;[2023-10-19T00:00:00]" c="10/19/2023"/>
              <i n="[historico_movimientos].[fecha].&amp;[2023-10-20T00:00:00]" c="10/20/2023"/>
              <i n="[historico_movimientos].[fecha].&amp;[2023-10-25T00:00:00]" c="10/25/2023"/>
              <i n="[historico_movimientos].[fecha].&amp;[2023-11-25T00:00:00]" c="11/25/2023"/>
              <i n="[historico_movimientos].[fecha].&amp;[2024-01-11T00:00:00]" c="1/11/2024"/>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1249939889">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2" totalsRowShown="0">
  <autoFilter ref="A1:F2" xr:uid="{5D2FCAF7-82DC-4ED2-83BC-E8AD3F82A185}"/>
  <tableColumns count="6">
    <tableColumn id="1" xr3:uid="{1FE44DAB-8F41-4D00-BCB7-81BE74131ACE}" name="ID" dataDxfId="73"/>
    <tableColumn id="2" xr3:uid="{36BB7A48-8608-4DE4-9575-9B04C30EF766}" name="ENTRADA UNIDADES"/>
    <tableColumn id="3" xr3:uid="{E70C7393-111D-47A9-AF6B-5ECC401608A7}" name="COMENTARIO"/>
    <tableColumn id="7" xr3:uid="{797A9C3A-A00A-499D-AC97-F7B30636C162}" name="fecha manual (dia/mes/anio)" dataDxfId="72"/>
    <tableColumn id="4" xr3:uid="{1FC880C8-370C-454D-A0D1-F927AD2FE156}" name="hora manual (hh/mm AM/PM)" dataDxfId="71"/>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70" dataDxfId="69" totalsRowDxfId="68">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67" totalsRowDxfId="5"/>
    <tableColumn id="2" xr3:uid="{AAA27801-47C4-4874-A097-936487C1FE11}" name="DESCRIPCION" dataDxfId="66" totalsRowDxfId="11">
      <calculatedColumnFormula>IFERROR( _xlfn.XLOOKUP(factura_tb[[#This Row],[ID]],total_leyenda[ID],total_leyenda[DESCRIPCION]), "")</calculatedColumnFormula>
    </tableColumn>
    <tableColumn id="3" xr3:uid="{4C7E250B-0B4A-4560-AA4F-E2BC53117D1C}" name="CANTIDAD" dataDxfId="65" totalsRowDxfId="4"/>
    <tableColumn id="6" xr3:uid="{C4FB869C-E694-417E-8EFC-8EC10778BD79}" name="VALOR UNITARIO" dataDxfId="14" totalsRowDxfId="12" dataCellStyle="Currency">
      <calculatedColumnFormula>IFERROR( _xlfn.XLOOKUP(factura_tb[[#This Row],[ID]],total_leyenda[ID],total_leyenda[precio unitario]), "")</calculatedColumnFormula>
    </tableColumn>
    <tableColumn id="4" xr3:uid="{A9B43DC8-6375-450F-9539-AF92F6895350}" name="COMENTARIO" dataDxfId="10" totalsRowDxfId="13"/>
    <tableColumn id="5" xr3:uid="{421DF32D-BBDD-4319-B192-A70F6E625D37}" name="TOTAL" dataDxfId="9" totalsRowDxfId="3" dataCellStyle="Currency">
      <calculatedColumnFormula>IFERROR( _xlfn.XLOOKUP(factura_tb[[#This Row],[ID]],total_leyenda[ID],total_leyenda[precio unitario])*factura_tb[[#This Row],[CANTIDAD]], "")</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89" tableType="queryTable" totalsRowShown="0">
  <autoFilter ref="A1:D89" xr:uid="{3EBB33D8-DC96-4EDA-9963-9C2E81447CF6}"/>
  <tableColumns count="4">
    <tableColumn id="1" xr3:uid="{36FF0B75-C765-45C6-BCE9-C424C7EA27F2}" uniqueName="1" name="id_producto" queryTableFieldId="4" dataDxfId="64"/>
    <tableColumn id="4" xr3:uid="{D93925F4-8E51-4C06-9A78-466CE96DD5FC}" uniqueName="4" name="categoria" queryTableFieldId="6"/>
    <tableColumn id="2" xr3:uid="{D39D12B1-86F5-4409-AC31-25E406C66C2B}" uniqueName="2" name="descripcion" queryTableFieldId="2" dataDxfId="63"/>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62" dataDxfId="60" headerRowBorderDxfId="61" tableBorderDxfId="59" totalsRowBorderDxfId="58">
  <autoFilter ref="A1:I89" xr:uid="{F57597E2-C952-4754-8138-C793B9B40583}"/>
  <tableColumns count="9">
    <tableColumn id="1" xr3:uid="{ECB07C3F-9550-4E67-AA2E-CC6ED1B27533}" name="ID" dataDxfId="57"/>
    <tableColumn id="2" xr3:uid="{1C96C333-5A36-4501-986C-193625FB95CE}" name="UNIDADES" dataDxfId="56"/>
    <tableColumn id="3" xr3:uid="{CA110C24-885C-4938-B33F-4F3FA8760F58}" name="COMENTARIO" dataDxfId="55"/>
    <tableColumn id="4" xr3:uid="{0F82B8EB-1BF2-4744-A79F-F1985B99B5BB}" name="fecha manual (dia/mes/anio)" dataDxfId="54"/>
    <tableColumn id="5" xr3:uid="{9F17267E-8C81-4DEE-806F-65BD1FF3BBB1}" name="hora manual (hh/mm AM/PM)" dataDxfId="53"/>
    <tableColumn id="6" xr3:uid="{CD7273DE-D424-4A9A-BB5E-61EA90EBBFB4}" name="DESCRIPCION" dataDxfId="52"/>
    <tableColumn id="11" xr3:uid="{06AB7ED4-E9EF-4B67-B83C-8F2DD9EE10DD}" name="CATEGORIA" dataDxfId="51">
      <calculatedColumnFormula>_xlfn.XLOOKUP(entradas_hist[[#This Row],[ID]],total_leyenda[ID],total_leyenda[categoria])</calculatedColumnFormula>
    </tableColumn>
    <tableColumn id="8" xr3:uid="{A795431A-2A2C-4E61-8B30-48FA3B885B39}" name="TIPO" dataDxfId="50"/>
    <tableColumn id="7" xr3:uid="{58D5B9AD-2D39-49D6-AAC6-CC9FE269BCA4}" name="fecha registro" dataDxfId="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L10" totalsRowShown="0">
  <autoFilter ref="A1:L10" xr:uid="{979F203C-5566-4775-8454-EAEFA2F2B54F}"/>
  <tableColumns count="12">
    <tableColumn id="1" xr3:uid="{FDC253CB-1FD0-4E94-95D3-8DCACD435FE4}" name="FACTURA_ID" dataDxfId="48"/>
    <tableColumn id="11" xr3:uid="{5E91CE06-9DAD-4E6B-BBAF-91166672E134}" name="FECHA" dataDxfId="47"/>
    <tableColumn id="12" xr3:uid="{D026A8A1-69D4-42EC-9D42-409851C3B7E5}" name="HORA" dataDxfId="46"/>
    <tableColumn id="15" xr3:uid="{8D84D887-2841-40BB-A4A8-243495A463D9}" name="CLIENTE" dataDxfId="45"/>
    <tableColumn id="13" xr3:uid="{2B1B31A1-B76A-4E98-B5C7-BDBE65292330}" name="PRODUCTO_ID" dataDxfId="44"/>
    <tableColumn id="14" xr3:uid="{C9E1064C-FD53-49C8-89C0-08C3BA5B5411}" name="DESCRIPCION" dataDxfId="43"/>
    <tableColumn id="2" xr3:uid="{601C0B7A-1106-493F-B7FF-2C68A5AB4E5C}" name="UNIDADES"/>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42"/>
    <tableColumn id="9" xr3:uid="{D6E92859-BEFD-4C48-8425-CA80331BD9DA}" name="CATEGORIA" dataDxfId="41">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96" tableType="queryTable" totalsRowShown="0">
  <autoFilter ref="A1:L96" xr:uid="{C77C955B-8117-40D4-9250-4C55C2BC192B}"/>
  <tableColumns count="12">
    <tableColumn id="11" xr3:uid="{2F1DCA05-B402-4377-82FF-FACF82144E69}" uniqueName="11" name="id_mov" queryTableFieldId="22"/>
    <tableColumn id="2" xr3:uid="{FF8BC23B-63DC-412C-A3DB-AAA9A22DF101}" uniqueName="2" name="tipo" queryTableFieldId="10" dataDxfId="40"/>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39"/>
    <tableColumn id="16" xr3:uid="{E1095967-5E89-478C-9B47-97448568CFCD}" uniqueName="16" name="hora" queryTableFieldId="31" dataDxfId="38"/>
    <tableColumn id="8" xr3:uid="{9781B3D8-DC54-4FBC-B9BB-585FDC45EA83}" uniqueName="8" name="Intervalo" queryTableFieldId="20" dataDxfId="37"/>
    <tableColumn id="6" xr3:uid="{F09C5370-4D22-46EF-8660-3ABCF92BB2AF}" uniqueName="6" name="descripcion" queryTableFieldId="6" dataDxfId="36"/>
    <tableColumn id="18" xr3:uid="{6F6D191E-4B77-4461-9F16-E38EAE92BB7E}" uniqueName="18" name="categoria" queryTableFieldId="42"/>
    <tableColumn id="3" xr3:uid="{1DD41784-C550-4678-A2C7-2402624914E9}" uniqueName="3" name="comentario" queryTableFieldId="3" dataDxfId="35"/>
    <tableColumn id="7" xr3:uid="{D734CA0C-6E1B-446C-AF2D-D8B668EDDC2A}" uniqueName="7" name="fecha registro" queryTableFieldId="11" dataDxfId="34"/>
    <tableColumn id="14" xr3:uid="{59BDEEE5-7C9D-4B7F-945D-05D8901DB39E}" uniqueName="14" name="total_inv" queryTableFieldId="29" dataDxfId="33">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2"/>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1"/>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30"/>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9"/>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8"/>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7"/>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26"/>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25"/>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23">
  <autoFilter ref="G2:J91" xr:uid="{347CFDF9-3AD7-4869-99BE-65793DC5ADC2}"/>
  <sortState xmlns:xlrd2="http://schemas.microsoft.com/office/spreadsheetml/2017/richdata2" ref="G3:I91">
    <sortCondition ref="G2:G91"/>
  </sortState>
  <tableColumns count="4">
    <tableColumn id="1" xr3:uid="{0735319F-4729-4F28-8757-E9336107BAF5}" name="ID" dataDxfId="22"/>
    <tableColumn id="2" xr3:uid="{90A08047-F80C-4F7A-9944-01CDEF1A7566}" name="DESCRIPCION" dataDxfId="21"/>
    <tableColumn id="3" xr3:uid="{34A94A3A-7AF2-46A4-B2BA-23BBA8C3C1B0}" name="categoria" dataDxfId="20"/>
    <tableColumn id="4" xr3:uid="{A928467F-7932-4385-B551-DB1A6D42CE9D}" name="precio unitario" dataDxfId="19"/>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8">
  <autoFilter ref="E4:E17" xr:uid="{351604C1-5D34-4668-8482-5A795ABDD2B3}"/>
  <tableColumns count="1">
    <tableColumn id="1" xr3:uid="{F3D7D971-BA11-4502-9FE9-28EFDA2353B0}" name="INTERVALOS"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6">
  <autoFilter ref="E19:E27" xr:uid="{8B732837-A501-4EBB-A32C-1B38547E358F}"/>
  <tableColumns count="1">
    <tableColumn id="1" xr3:uid="{9F30AE09-CCD3-4225-B611-2BF9C337CF02}" name="categoria"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2.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102"/>
  <sheetViews>
    <sheetView showGridLines="0" topLeftCell="B1" zoomScale="115" zoomScaleNormal="115" workbookViewId="0">
      <selection activeCell="D5" sqref="D5:F5"/>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31" customFormat="1" x14ac:dyDescent="0.25">
      <c r="A1" s="31" t="s">
        <v>375</v>
      </c>
    </row>
    <row r="2" spans="1:14" s="31" customFormat="1" x14ac:dyDescent="0.25"/>
    <row r="3" spans="1:14" s="31" customFormat="1" x14ac:dyDescent="0.25"/>
    <row r="4" spans="1:14" s="23" customFormat="1" ht="9.9499999999999993" customHeight="1" x14ac:dyDescent="0.25"/>
    <row r="5" spans="1:14" s="23" customFormat="1" ht="28.5" x14ac:dyDescent="0.25">
      <c r="D5" s="32" t="s">
        <v>377</v>
      </c>
      <c r="E5" s="32"/>
      <c r="F5" s="32"/>
      <c r="J5" s="32" t="s">
        <v>378</v>
      </c>
      <c r="K5" s="32"/>
      <c r="L5" s="32"/>
      <c r="M5" s="32"/>
      <c r="N5" s="32"/>
    </row>
    <row r="6" spans="1:14" ht="9.9499999999999993" customHeight="1" x14ac:dyDescent="0.25"/>
    <row r="7" spans="1:14" ht="16.5" x14ac:dyDescent="0.3">
      <c r="D7" s="27" t="s">
        <v>333</v>
      </c>
      <c r="E7" s="27" t="s">
        <v>335</v>
      </c>
      <c r="F7" s="28" t="s">
        <v>376</v>
      </c>
      <c r="J7" s="16" t="s">
        <v>330</v>
      </c>
      <c r="K7" s="16" t="s">
        <v>331</v>
      </c>
      <c r="L7" s="16" t="s">
        <v>374</v>
      </c>
      <c r="M7" s="16" t="s">
        <v>335</v>
      </c>
      <c r="N7" t="s">
        <v>371</v>
      </c>
    </row>
    <row r="8" spans="1:14" ht="16.5" x14ac:dyDescent="0.3">
      <c r="D8" s="28" t="s">
        <v>9</v>
      </c>
      <c r="E8" s="28" t="s">
        <v>364</v>
      </c>
      <c r="F8" s="28">
        <v>44</v>
      </c>
      <c r="J8" s="4">
        <v>45218</v>
      </c>
      <c r="K8" s="25">
        <v>0.33333333333333331</v>
      </c>
      <c r="L8" t="s">
        <v>217</v>
      </c>
      <c r="M8" t="s">
        <v>192</v>
      </c>
      <c r="N8">
        <v>69</v>
      </c>
    </row>
    <row r="9" spans="1:14" ht="16.5" x14ac:dyDescent="0.3">
      <c r="D9" s="28" t="s">
        <v>11</v>
      </c>
      <c r="E9" s="28" t="s">
        <v>361</v>
      </c>
      <c r="F9" s="28">
        <v>20</v>
      </c>
      <c r="J9" s="4">
        <v>45218</v>
      </c>
      <c r="K9" s="25">
        <v>0.33333333333333331</v>
      </c>
      <c r="L9" t="s">
        <v>217</v>
      </c>
      <c r="M9" t="s">
        <v>193</v>
      </c>
      <c r="N9">
        <v>67</v>
      </c>
    </row>
    <row r="10" spans="1:14" ht="16.5" x14ac:dyDescent="0.3">
      <c r="D10" s="28" t="s">
        <v>13</v>
      </c>
      <c r="E10" s="28" t="s">
        <v>353</v>
      </c>
      <c r="F10" s="28">
        <v>51</v>
      </c>
      <c r="J10" s="4">
        <v>45218</v>
      </c>
      <c r="K10" s="25">
        <v>0.33333333333333331</v>
      </c>
      <c r="L10" t="s">
        <v>217</v>
      </c>
      <c r="M10" t="s">
        <v>199</v>
      </c>
      <c r="N10">
        <v>0</v>
      </c>
    </row>
    <row r="11" spans="1:14" ht="16.5" x14ac:dyDescent="0.3">
      <c r="D11" s="28" t="s">
        <v>15</v>
      </c>
      <c r="E11" s="28" t="s">
        <v>347</v>
      </c>
      <c r="F11" s="28">
        <v>0</v>
      </c>
      <c r="J11" s="4">
        <v>45218</v>
      </c>
      <c r="K11" s="25">
        <v>0.33333333333333331</v>
      </c>
      <c r="L11" t="s">
        <v>217</v>
      </c>
      <c r="M11" t="s">
        <v>194</v>
      </c>
      <c r="N11">
        <v>4</v>
      </c>
    </row>
    <row r="12" spans="1:14" ht="16.5" x14ac:dyDescent="0.3">
      <c r="D12" s="28" t="s">
        <v>16</v>
      </c>
      <c r="E12" s="28" t="s">
        <v>350</v>
      </c>
      <c r="F12" s="28">
        <v>32</v>
      </c>
      <c r="J12" s="4">
        <v>45218</v>
      </c>
      <c r="K12" s="25">
        <v>0.33333333333333331</v>
      </c>
      <c r="L12" t="s">
        <v>217</v>
      </c>
      <c r="M12" t="s">
        <v>198</v>
      </c>
      <c r="N12">
        <v>4</v>
      </c>
    </row>
    <row r="13" spans="1:14" ht="16.5" x14ac:dyDescent="0.3">
      <c r="D13" s="28" t="s">
        <v>17</v>
      </c>
      <c r="E13" s="28" t="s">
        <v>367</v>
      </c>
      <c r="F13" s="28">
        <v>10</v>
      </c>
      <c r="J13" s="4">
        <v>45218</v>
      </c>
      <c r="K13" s="25">
        <v>0.33333333333333331</v>
      </c>
      <c r="L13" t="s">
        <v>217</v>
      </c>
      <c r="M13" t="s">
        <v>196</v>
      </c>
      <c r="N13">
        <v>15</v>
      </c>
    </row>
    <row r="14" spans="1:14" ht="16.5" x14ac:dyDescent="0.3">
      <c r="D14" s="28" t="s">
        <v>18</v>
      </c>
      <c r="E14" s="28" t="s">
        <v>358</v>
      </c>
      <c r="F14" s="28">
        <v>17</v>
      </c>
      <c r="J14" s="4">
        <v>45218</v>
      </c>
      <c r="K14" s="25">
        <v>0.33333333333333331</v>
      </c>
      <c r="L14" t="s">
        <v>217</v>
      </c>
      <c r="M14" t="s">
        <v>195</v>
      </c>
      <c r="N14">
        <v>10</v>
      </c>
    </row>
    <row r="15" spans="1:14" ht="16.5" x14ac:dyDescent="0.3">
      <c r="D15" s="28" t="s">
        <v>19</v>
      </c>
      <c r="E15" s="28" t="s">
        <v>356</v>
      </c>
      <c r="F15" s="28">
        <v>21</v>
      </c>
      <c r="J15" s="4">
        <v>45218</v>
      </c>
      <c r="K15" s="25">
        <v>0.33333333333333331</v>
      </c>
      <c r="L15" t="s">
        <v>217</v>
      </c>
      <c r="M15" t="s">
        <v>197</v>
      </c>
      <c r="N15">
        <v>5</v>
      </c>
    </row>
    <row r="16" spans="1:14" ht="16.5" x14ac:dyDescent="0.3">
      <c r="D16" s="28" t="s">
        <v>27</v>
      </c>
      <c r="E16" s="28" t="s">
        <v>366</v>
      </c>
      <c r="F16" s="28">
        <v>9</v>
      </c>
      <c r="J16" s="4">
        <v>45218</v>
      </c>
      <c r="K16" s="25">
        <v>0.33333333333333331</v>
      </c>
      <c r="L16" t="s">
        <v>217</v>
      </c>
      <c r="M16" t="s">
        <v>202</v>
      </c>
      <c r="N16">
        <v>0</v>
      </c>
    </row>
    <row r="17" spans="2:14" ht="16.5" x14ac:dyDescent="0.3">
      <c r="D17" s="28" t="s">
        <v>29</v>
      </c>
      <c r="E17" s="28" t="s">
        <v>363</v>
      </c>
      <c r="F17" s="28">
        <v>0</v>
      </c>
      <c r="J17" s="4">
        <v>45218</v>
      </c>
      <c r="K17" s="25">
        <v>0.33333333333333331</v>
      </c>
      <c r="L17" t="s">
        <v>217</v>
      </c>
      <c r="M17" t="s">
        <v>203</v>
      </c>
      <c r="N17">
        <v>0</v>
      </c>
    </row>
    <row r="18" spans="2:14" ht="16.5" x14ac:dyDescent="0.3">
      <c r="D18" s="28" t="s">
        <v>30</v>
      </c>
      <c r="E18" s="28" t="s">
        <v>355</v>
      </c>
      <c r="F18" s="28">
        <v>35</v>
      </c>
      <c r="J18" s="4">
        <v>45218</v>
      </c>
      <c r="K18" s="25">
        <v>0.33333333333333331</v>
      </c>
      <c r="L18" t="s">
        <v>217</v>
      </c>
      <c r="M18" t="s">
        <v>200</v>
      </c>
      <c r="N18">
        <v>10</v>
      </c>
    </row>
    <row r="19" spans="2:14" ht="16.5" x14ac:dyDescent="0.3">
      <c r="D19" s="28" t="s">
        <v>31</v>
      </c>
      <c r="E19" s="28" t="s">
        <v>349</v>
      </c>
      <c r="F19" s="28">
        <v>4</v>
      </c>
      <c r="J19" s="4">
        <v>45218</v>
      </c>
      <c r="K19" s="25">
        <v>0.33333333333333331</v>
      </c>
      <c r="L19" t="s">
        <v>217</v>
      </c>
      <c r="M19" t="s">
        <v>201</v>
      </c>
      <c r="N19">
        <v>0</v>
      </c>
    </row>
    <row r="20" spans="2:14" ht="16.5" x14ac:dyDescent="0.3">
      <c r="D20" s="28" t="s">
        <v>32</v>
      </c>
      <c r="E20" s="28" t="s">
        <v>352</v>
      </c>
      <c r="F20" s="28">
        <v>21</v>
      </c>
      <c r="J20" s="4">
        <v>45218</v>
      </c>
      <c r="K20" s="25">
        <v>0.33333333333333331</v>
      </c>
      <c r="L20" t="s">
        <v>149</v>
      </c>
      <c r="M20" t="s">
        <v>151</v>
      </c>
      <c r="N20">
        <v>53</v>
      </c>
    </row>
    <row r="21" spans="2:14" ht="16.5" x14ac:dyDescent="0.3">
      <c r="D21" s="28" t="s">
        <v>33</v>
      </c>
      <c r="E21" s="28" t="s">
        <v>369</v>
      </c>
      <c r="F21" s="28">
        <v>14</v>
      </c>
      <c r="J21" s="4">
        <v>45218</v>
      </c>
      <c r="K21" s="25">
        <v>0.33333333333333331</v>
      </c>
      <c r="L21" t="s">
        <v>149</v>
      </c>
      <c r="M21" t="s">
        <v>153</v>
      </c>
      <c r="N21">
        <v>4</v>
      </c>
    </row>
    <row r="22" spans="2:14" ht="16.5" x14ac:dyDescent="0.3">
      <c r="D22" s="28" t="s">
        <v>34</v>
      </c>
      <c r="E22" s="28" t="s">
        <v>360</v>
      </c>
      <c r="F22" s="28">
        <v>12</v>
      </c>
      <c r="J22" s="4">
        <v>45218</v>
      </c>
      <c r="K22" s="25">
        <v>0.33333333333333331</v>
      </c>
      <c r="L22" t="s">
        <v>149</v>
      </c>
      <c r="M22" t="s">
        <v>154</v>
      </c>
      <c r="N22">
        <v>49</v>
      </c>
    </row>
    <row r="23" spans="2:14" ht="16.5" x14ac:dyDescent="0.3">
      <c r="B23" t="s">
        <v>231</v>
      </c>
      <c r="D23" s="28" t="s">
        <v>35</v>
      </c>
      <c r="E23" s="28" t="s">
        <v>357</v>
      </c>
      <c r="F23" s="28">
        <v>0</v>
      </c>
      <c r="J23" s="4">
        <v>45218</v>
      </c>
      <c r="K23" s="25">
        <v>0.33333333333333331</v>
      </c>
      <c r="L23" t="s">
        <v>149</v>
      </c>
      <c r="M23" t="s">
        <v>155</v>
      </c>
      <c r="N23">
        <v>3</v>
      </c>
    </row>
    <row r="24" spans="2:14" ht="16.5" x14ac:dyDescent="0.3">
      <c r="D24" s="28" t="s">
        <v>44</v>
      </c>
      <c r="E24" s="28" t="s">
        <v>365</v>
      </c>
      <c r="F24" s="28">
        <v>15</v>
      </c>
      <c r="J24" s="4">
        <v>45218</v>
      </c>
      <c r="K24" s="25">
        <v>0.33333333333333331</v>
      </c>
      <c r="L24" t="s">
        <v>149</v>
      </c>
      <c r="M24" t="s">
        <v>156</v>
      </c>
      <c r="N24">
        <v>36</v>
      </c>
    </row>
    <row r="25" spans="2:14" ht="16.5" x14ac:dyDescent="0.3">
      <c r="D25" s="28" t="s">
        <v>45</v>
      </c>
      <c r="E25" s="28" t="s">
        <v>362</v>
      </c>
      <c r="F25" s="28">
        <v>8</v>
      </c>
      <c r="J25" s="4">
        <v>45218</v>
      </c>
      <c r="K25" s="25">
        <v>0.33333333333333331</v>
      </c>
      <c r="L25" t="s">
        <v>216</v>
      </c>
      <c r="M25" t="s">
        <v>123</v>
      </c>
      <c r="N25">
        <v>39</v>
      </c>
    </row>
    <row r="26" spans="2:14" ht="16.5" x14ac:dyDescent="0.3">
      <c r="D26" s="28" t="s">
        <v>46</v>
      </c>
      <c r="E26" s="28" t="s">
        <v>354</v>
      </c>
      <c r="F26" s="28">
        <v>46</v>
      </c>
      <c r="J26" s="4">
        <v>45218</v>
      </c>
      <c r="K26" s="25">
        <v>0.33333333333333331</v>
      </c>
      <c r="L26" t="s">
        <v>128</v>
      </c>
      <c r="M26" t="s">
        <v>129</v>
      </c>
      <c r="N26">
        <v>1</v>
      </c>
    </row>
    <row r="27" spans="2:14" ht="16.5" x14ac:dyDescent="0.3">
      <c r="D27" s="28" t="s">
        <v>47</v>
      </c>
      <c r="E27" s="28" t="s">
        <v>348</v>
      </c>
      <c r="F27" s="28">
        <v>15</v>
      </c>
      <c r="J27" s="4">
        <v>45218</v>
      </c>
      <c r="K27" s="25">
        <v>0.33333333333333331</v>
      </c>
      <c r="L27" t="s">
        <v>128</v>
      </c>
      <c r="M27" t="s">
        <v>130</v>
      </c>
      <c r="N27">
        <v>5</v>
      </c>
    </row>
    <row r="28" spans="2:14" ht="16.5" x14ac:dyDescent="0.3">
      <c r="D28" s="28" t="s">
        <v>48</v>
      </c>
      <c r="E28" s="28" t="s">
        <v>351</v>
      </c>
      <c r="F28" s="28">
        <v>14</v>
      </c>
      <c r="J28" s="4">
        <v>45218</v>
      </c>
      <c r="K28" s="25">
        <v>0.33333333333333331</v>
      </c>
      <c r="L28" t="s">
        <v>128</v>
      </c>
      <c r="M28" t="s">
        <v>132</v>
      </c>
      <c r="N28">
        <v>9</v>
      </c>
    </row>
    <row r="29" spans="2:14" ht="16.5" x14ac:dyDescent="0.3">
      <c r="D29" s="28" t="s">
        <v>49</v>
      </c>
      <c r="E29" s="28" t="s">
        <v>368</v>
      </c>
      <c r="F29" s="28">
        <v>15</v>
      </c>
      <c r="J29" s="4">
        <v>45218</v>
      </c>
      <c r="K29" s="25">
        <v>0.33333333333333331</v>
      </c>
      <c r="L29" t="s">
        <v>128</v>
      </c>
      <c r="M29" t="s">
        <v>131</v>
      </c>
      <c r="N29">
        <v>30</v>
      </c>
    </row>
    <row r="30" spans="2:14" ht="16.5" x14ac:dyDescent="0.3">
      <c r="D30" s="28" t="s">
        <v>50</v>
      </c>
      <c r="E30" s="28" t="s">
        <v>359</v>
      </c>
      <c r="F30" s="28">
        <v>13</v>
      </c>
      <c r="J30" s="4">
        <v>45218</v>
      </c>
      <c r="K30" s="25">
        <v>0.33333333333333331</v>
      </c>
      <c r="L30" t="s">
        <v>112</v>
      </c>
      <c r="M30" t="s">
        <v>119</v>
      </c>
      <c r="N30">
        <v>2</v>
      </c>
    </row>
    <row r="31" spans="2:14" ht="16.5" x14ac:dyDescent="0.3">
      <c r="D31" s="28" t="s">
        <v>62</v>
      </c>
      <c r="E31" s="28" t="s">
        <v>342</v>
      </c>
      <c r="F31" s="28">
        <v>126</v>
      </c>
      <c r="J31" s="4">
        <v>45218</v>
      </c>
      <c r="K31" s="25">
        <v>0.33333333333333331</v>
      </c>
      <c r="L31" t="s">
        <v>112</v>
      </c>
      <c r="M31" t="s">
        <v>117</v>
      </c>
      <c r="N31">
        <v>9</v>
      </c>
    </row>
    <row r="32" spans="2:14" ht="16.5" x14ac:dyDescent="0.3">
      <c r="D32" s="28" t="s">
        <v>63</v>
      </c>
      <c r="E32" s="28" t="s">
        <v>341</v>
      </c>
      <c r="F32" s="28">
        <v>26</v>
      </c>
      <c r="J32" s="4">
        <v>45218</v>
      </c>
      <c r="K32" s="25">
        <v>0.33333333333333331</v>
      </c>
      <c r="L32" t="s">
        <v>112</v>
      </c>
      <c r="M32" t="s">
        <v>118</v>
      </c>
      <c r="N32">
        <v>7</v>
      </c>
    </row>
    <row r="33" spans="4:14" ht="16.5" x14ac:dyDescent="0.3">
      <c r="D33" s="28" t="s">
        <v>64</v>
      </c>
      <c r="E33" s="28" t="s">
        <v>340</v>
      </c>
      <c r="F33" s="28">
        <v>32</v>
      </c>
      <c r="J33" s="4">
        <v>45218</v>
      </c>
      <c r="K33" s="25">
        <v>0.33333333333333331</v>
      </c>
      <c r="L33" t="s">
        <v>112</v>
      </c>
      <c r="M33" t="s">
        <v>116</v>
      </c>
      <c r="N33">
        <v>27</v>
      </c>
    </row>
    <row r="34" spans="4:14" ht="16.5" x14ac:dyDescent="0.3">
      <c r="D34" s="28" t="s">
        <v>65</v>
      </c>
      <c r="E34" s="28" t="s">
        <v>337</v>
      </c>
      <c r="F34" s="28">
        <v>30</v>
      </c>
      <c r="J34" s="4">
        <v>45218</v>
      </c>
      <c r="K34" s="25">
        <v>0.33333333333333331</v>
      </c>
      <c r="L34" t="s">
        <v>373</v>
      </c>
      <c r="M34" t="s">
        <v>337</v>
      </c>
      <c r="N34">
        <v>30</v>
      </c>
    </row>
    <row r="35" spans="4:14" ht="16.5" x14ac:dyDescent="0.3">
      <c r="D35" s="28" t="s">
        <v>66</v>
      </c>
      <c r="E35" s="28" t="s">
        <v>76</v>
      </c>
      <c r="F35" s="28">
        <v>28</v>
      </c>
      <c r="J35" s="4">
        <v>45218</v>
      </c>
      <c r="K35" s="25">
        <v>0.33333333333333331</v>
      </c>
      <c r="L35" t="s">
        <v>373</v>
      </c>
      <c r="M35" t="s">
        <v>76</v>
      </c>
      <c r="N35">
        <v>28</v>
      </c>
    </row>
    <row r="36" spans="4:14" ht="16.5" x14ac:dyDescent="0.3">
      <c r="D36" s="28" t="s">
        <v>67</v>
      </c>
      <c r="E36" s="28" t="s">
        <v>75</v>
      </c>
      <c r="F36" s="28">
        <v>19</v>
      </c>
      <c r="J36" s="4">
        <v>45218</v>
      </c>
      <c r="K36" s="25">
        <v>0.33333333333333331</v>
      </c>
      <c r="L36" t="s">
        <v>373</v>
      </c>
      <c r="M36" t="s">
        <v>338</v>
      </c>
      <c r="N36">
        <v>23</v>
      </c>
    </row>
    <row r="37" spans="4:14" ht="16.5" x14ac:dyDescent="0.3">
      <c r="D37" s="28" t="s">
        <v>68</v>
      </c>
      <c r="E37" s="28" t="s">
        <v>79</v>
      </c>
      <c r="F37" s="28">
        <v>4</v>
      </c>
      <c r="J37" s="4">
        <v>45218</v>
      </c>
      <c r="K37" s="25">
        <v>0.33333333333333331</v>
      </c>
      <c r="L37" t="s">
        <v>373</v>
      </c>
      <c r="M37" t="s">
        <v>339</v>
      </c>
      <c r="N37">
        <v>17</v>
      </c>
    </row>
    <row r="38" spans="4:14" ht="16.5" x14ac:dyDescent="0.3">
      <c r="D38" s="28" t="s">
        <v>81</v>
      </c>
      <c r="E38" s="28" t="s">
        <v>346</v>
      </c>
      <c r="F38" s="28">
        <v>127</v>
      </c>
      <c r="J38" s="4">
        <v>45218</v>
      </c>
      <c r="K38" s="25">
        <v>0.33333333333333331</v>
      </c>
      <c r="L38" t="s">
        <v>373</v>
      </c>
      <c r="M38" t="s">
        <v>74</v>
      </c>
      <c r="N38">
        <v>39</v>
      </c>
    </row>
    <row r="39" spans="4:14" ht="16.5" x14ac:dyDescent="0.3">
      <c r="D39" s="28" t="s">
        <v>82</v>
      </c>
      <c r="E39" s="28" t="s">
        <v>345</v>
      </c>
      <c r="F39" s="28">
        <v>16</v>
      </c>
      <c r="J39" s="4">
        <v>45218</v>
      </c>
      <c r="K39" s="25">
        <v>0.33333333333333331</v>
      </c>
      <c r="L39" t="s">
        <v>373</v>
      </c>
      <c r="M39" t="s">
        <v>340</v>
      </c>
      <c r="N39">
        <v>32</v>
      </c>
    </row>
    <row r="40" spans="4:14" ht="16.5" x14ac:dyDescent="0.3">
      <c r="D40" s="28" t="s">
        <v>83</v>
      </c>
      <c r="E40" s="28" t="s">
        <v>344</v>
      </c>
      <c r="F40" s="28">
        <v>39</v>
      </c>
      <c r="J40" s="4">
        <v>45218</v>
      </c>
      <c r="K40" s="25">
        <v>0.33333333333333331</v>
      </c>
      <c r="L40" t="s">
        <v>373</v>
      </c>
      <c r="M40" t="s">
        <v>79</v>
      </c>
      <c r="N40">
        <v>4</v>
      </c>
    </row>
    <row r="41" spans="4:14" ht="16.5" x14ac:dyDescent="0.3">
      <c r="D41" s="28" t="s">
        <v>84</v>
      </c>
      <c r="E41" s="28" t="s">
        <v>343</v>
      </c>
      <c r="F41" s="28">
        <v>16</v>
      </c>
      <c r="J41" s="4">
        <v>45218</v>
      </c>
      <c r="K41" s="25">
        <v>0.33333333333333331</v>
      </c>
      <c r="L41" t="s">
        <v>373</v>
      </c>
      <c r="M41" t="s">
        <v>341</v>
      </c>
      <c r="N41">
        <v>26</v>
      </c>
    </row>
    <row r="42" spans="4:14" ht="16.5" x14ac:dyDescent="0.3">
      <c r="D42" s="28" t="s">
        <v>85</v>
      </c>
      <c r="E42" s="28" t="s">
        <v>92</v>
      </c>
      <c r="F42" s="28">
        <v>39</v>
      </c>
      <c r="J42" s="4">
        <v>45218</v>
      </c>
      <c r="K42" s="25">
        <v>0.33333333333333331</v>
      </c>
      <c r="L42" t="s">
        <v>373</v>
      </c>
      <c r="M42" t="s">
        <v>342</v>
      </c>
      <c r="N42">
        <v>126</v>
      </c>
    </row>
    <row r="43" spans="4:14" ht="16.5" x14ac:dyDescent="0.3">
      <c r="D43" s="28" t="s">
        <v>86</v>
      </c>
      <c r="E43" s="28" t="s">
        <v>93</v>
      </c>
      <c r="F43" s="28">
        <v>16</v>
      </c>
      <c r="J43" s="4">
        <v>45218</v>
      </c>
      <c r="K43" s="25">
        <v>0.33333333333333331</v>
      </c>
      <c r="L43" t="s">
        <v>373</v>
      </c>
      <c r="M43" t="s">
        <v>75</v>
      </c>
      <c r="N43">
        <v>19</v>
      </c>
    </row>
    <row r="44" spans="4:14" ht="16.5" x14ac:dyDescent="0.3">
      <c r="D44" s="28" t="s">
        <v>87</v>
      </c>
      <c r="E44" s="28" t="s">
        <v>94</v>
      </c>
      <c r="F44" s="28">
        <v>37</v>
      </c>
      <c r="J44" s="4">
        <v>45218</v>
      </c>
      <c r="K44" s="25">
        <v>0.33333333333333331</v>
      </c>
      <c r="L44" t="s">
        <v>373</v>
      </c>
      <c r="M44" t="s">
        <v>343</v>
      </c>
      <c r="N44">
        <v>16</v>
      </c>
    </row>
    <row r="45" spans="4:14" ht="16.5" x14ac:dyDescent="0.3">
      <c r="D45" s="28" t="s">
        <v>97</v>
      </c>
      <c r="E45" s="28" t="s">
        <v>74</v>
      </c>
      <c r="F45" s="28">
        <v>39</v>
      </c>
      <c r="J45" s="4">
        <v>45218</v>
      </c>
      <c r="K45" s="25">
        <v>0.33333333333333331</v>
      </c>
      <c r="L45" t="s">
        <v>373</v>
      </c>
      <c r="M45" t="s">
        <v>92</v>
      </c>
      <c r="N45">
        <v>39</v>
      </c>
    </row>
    <row r="46" spans="4:14" ht="16.5" x14ac:dyDescent="0.3">
      <c r="D46" s="28" t="s">
        <v>98</v>
      </c>
      <c r="E46" s="28" t="s">
        <v>339</v>
      </c>
      <c r="F46" s="28">
        <v>17</v>
      </c>
      <c r="J46" s="4">
        <v>45218</v>
      </c>
      <c r="K46" s="25">
        <v>0.33333333333333331</v>
      </c>
      <c r="L46" t="s">
        <v>373</v>
      </c>
      <c r="M46" t="s">
        <v>344</v>
      </c>
      <c r="N46">
        <v>39</v>
      </c>
    </row>
    <row r="47" spans="4:14" ht="16.5" x14ac:dyDescent="0.3">
      <c r="D47" s="28" t="s">
        <v>99</v>
      </c>
      <c r="E47" s="28" t="s">
        <v>338</v>
      </c>
      <c r="F47" s="28">
        <v>23</v>
      </c>
      <c r="J47" s="4">
        <v>45218</v>
      </c>
      <c r="K47" s="25">
        <v>0.33333333333333331</v>
      </c>
      <c r="L47" t="s">
        <v>373</v>
      </c>
      <c r="M47" t="s">
        <v>94</v>
      </c>
      <c r="N47">
        <v>37</v>
      </c>
    </row>
    <row r="48" spans="4:14" ht="16.5" x14ac:dyDescent="0.3">
      <c r="D48" s="28" t="s">
        <v>102</v>
      </c>
      <c r="E48" s="28" t="s">
        <v>103</v>
      </c>
      <c r="F48" s="28">
        <v>24</v>
      </c>
      <c r="J48" s="4">
        <v>45218</v>
      </c>
      <c r="K48" s="25">
        <v>0.33333333333333331</v>
      </c>
      <c r="L48" t="s">
        <v>373</v>
      </c>
      <c r="M48" t="s">
        <v>345</v>
      </c>
      <c r="N48">
        <v>16</v>
      </c>
    </row>
    <row r="49" spans="4:14" ht="16.5" x14ac:dyDescent="0.3">
      <c r="D49" s="28" t="s">
        <v>108</v>
      </c>
      <c r="E49" s="28" t="s">
        <v>104</v>
      </c>
      <c r="F49" s="28">
        <v>67</v>
      </c>
      <c r="J49" s="4">
        <v>45218</v>
      </c>
      <c r="K49" s="25">
        <v>0.33333333333333331</v>
      </c>
      <c r="L49" t="s">
        <v>373</v>
      </c>
      <c r="M49" t="s">
        <v>346</v>
      </c>
      <c r="N49">
        <v>127</v>
      </c>
    </row>
    <row r="50" spans="4:14" ht="16.5" x14ac:dyDescent="0.3">
      <c r="D50" s="28" t="s">
        <v>109</v>
      </c>
      <c r="E50" s="28" t="s">
        <v>105</v>
      </c>
      <c r="F50" s="28">
        <v>73</v>
      </c>
      <c r="J50" s="4">
        <v>45218</v>
      </c>
      <c r="K50" s="25">
        <v>0.33333333333333331</v>
      </c>
      <c r="L50" t="s">
        <v>373</v>
      </c>
      <c r="M50" t="s">
        <v>93</v>
      </c>
      <c r="N50">
        <v>16</v>
      </c>
    </row>
    <row r="51" spans="4:14" ht="16.5" x14ac:dyDescent="0.3">
      <c r="D51" s="28" t="s">
        <v>110</v>
      </c>
      <c r="E51" s="28" t="s">
        <v>106</v>
      </c>
      <c r="F51" s="28">
        <v>36</v>
      </c>
      <c r="J51" s="4">
        <v>45218</v>
      </c>
      <c r="K51" s="25">
        <v>0.33333333333333331</v>
      </c>
      <c r="L51" t="s">
        <v>373</v>
      </c>
      <c r="M51" t="s">
        <v>347</v>
      </c>
      <c r="N51">
        <v>0</v>
      </c>
    </row>
    <row r="52" spans="4:14" ht="16.5" x14ac:dyDescent="0.3">
      <c r="D52" s="28" t="s">
        <v>111</v>
      </c>
      <c r="E52" s="28" t="s">
        <v>107</v>
      </c>
      <c r="F52" s="28">
        <v>20</v>
      </c>
      <c r="J52" s="4">
        <v>45218</v>
      </c>
      <c r="K52" s="25">
        <v>0.33333333333333331</v>
      </c>
      <c r="L52" t="s">
        <v>373</v>
      </c>
      <c r="M52" t="s">
        <v>348</v>
      </c>
      <c r="N52">
        <v>15</v>
      </c>
    </row>
    <row r="53" spans="4:14" ht="16.5" x14ac:dyDescent="0.3">
      <c r="D53" s="28" t="s">
        <v>115</v>
      </c>
      <c r="E53" s="28" t="s">
        <v>116</v>
      </c>
      <c r="F53" s="28">
        <v>27</v>
      </c>
      <c r="J53" s="4">
        <v>45218</v>
      </c>
      <c r="K53" s="25">
        <v>0.33333333333333331</v>
      </c>
      <c r="L53" t="s">
        <v>373</v>
      </c>
      <c r="M53" t="s">
        <v>349</v>
      </c>
      <c r="N53">
        <v>4</v>
      </c>
    </row>
    <row r="54" spans="4:14" ht="16.5" x14ac:dyDescent="0.3">
      <c r="D54" s="28" t="s">
        <v>120</v>
      </c>
      <c r="E54" s="28" t="s">
        <v>117</v>
      </c>
      <c r="F54" s="28">
        <v>9</v>
      </c>
      <c r="J54" s="4">
        <v>45218</v>
      </c>
      <c r="K54" s="25">
        <v>0.33333333333333331</v>
      </c>
      <c r="L54" t="s">
        <v>373</v>
      </c>
      <c r="M54" t="s">
        <v>350</v>
      </c>
      <c r="N54">
        <v>32</v>
      </c>
    </row>
    <row r="55" spans="4:14" ht="16.5" x14ac:dyDescent="0.3">
      <c r="D55" s="28" t="s">
        <v>121</v>
      </c>
      <c r="E55" s="28" t="s">
        <v>118</v>
      </c>
      <c r="F55" s="28">
        <v>7</v>
      </c>
      <c r="J55" s="4">
        <v>45218</v>
      </c>
      <c r="K55" s="25">
        <v>0.33333333333333331</v>
      </c>
      <c r="L55" t="s">
        <v>373</v>
      </c>
      <c r="M55" t="s">
        <v>351</v>
      </c>
      <c r="N55">
        <v>14</v>
      </c>
    </row>
    <row r="56" spans="4:14" ht="16.5" x14ac:dyDescent="0.3">
      <c r="D56" s="28" t="s">
        <v>122</v>
      </c>
      <c r="E56" s="28" t="s">
        <v>119</v>
      </c>
      <c r="F56" s="28">
        <v>2</v>
      </c>
      <c r="J56" s="4">
        <v>45218</v>
      </c>
      <c r="K56" s="25">
        <v>0.33333333333333331</v>
      </c>
      <c r="L56" t="s">
        <v>373</v>
      </c>
      <c r="M56" t="s">
        <v>352</v>
      </c>
      <c r="N56">
        <v>21</v>
      </c>
    </row>
    <row r="57" spans="4:14" ht="16.5" x14ac:dyDescent="0.3">
      <c r="D57" s="28" t="s">
        <v>125</v>
      </c>
      <c r="E57" s="28" t="s">
        <v>123</v>
      </c>
      <c r="F57" s="28">
        <v>39</v>
      </c>
      <c r="J57" s="4">
        <v>45218</v>
      </c>
      <c r="K57" s="25">
        <v>0.33333333333333331</v>
      </c>
      <c r="L57" t="s">
        <v>373</v>
      </c>
      <c r="M57" t="s">
        <v>353</v>
      </c>
      <c r="N57">
        <v>51</v>
      </c>
    </row>
    <row r="58" spans="4:14" ht="16.5" x14ac:dyDescent="0.3">
      <c r="D58" s="28" t="s">
        <v>135</v>
      </c>
      <c r="E58" s="28" t="s">
        <v>129</v>
      </c>
      <c r="F58" s="28">
        <v>1</v>
      </c>
      <c r="J58" s="4">
        <v>45218</v>
      </c>
      <c r="K58" s="25">
        <v>0.33333333333333331</v>
      </c>
      <c r="L58" t="s">
        <v>373</v>
      </c>
      <c r="M58" t="s">
        <v>354</v>
      </c>
      <c r="N58">
        <v>46</v>
      </c>
    </row>
    <row r="59" spans="4:14" ht="16.5" x14ac:dyDescent="0.3">
      <c r="D59" s="28" t="s">
        <v>136</v>
      </c>
      <c r="E59" s="28" t="s">
        <v>130</v>
      </c>
      <c r="F59" s="28">
        <v>5</v>
      </c>
      <c r="J59" s="4">
        <v>45218</v>
      </c>
      <c r="K59" s="25">
        <v>0.33333333333333331</v>
      </c>
      <c r="L59" t="s">
        <v>373</v>
      </c>
      <c r="M59" t="s">
        <v>355</v>
      </c>
      <c r="N59">
        <v>35</v>
      </c>
    </row>
    <row r="60" spans="4:14" ht="16.5" x14ac:dyDescent="0.3">
      <c r="D60" s="28" t="s">
        <v>137</v>
      </c>
      <c r="E60" s="28" t="s">
        <v>131</v>
      </c>
      <c r="F60" s="28">
        <v>30</v>
      </c>
      <c r="J60" s="4">
        <v>45218</v>
      </c>
      <c r="K60" s="25">
        <v>0.33333333333333331</v>
      </c>
      <c r="L60" t="s">
        <v>373</v>
      </c>
      <c r="M60" t="s">
        <v>106</v>
      </c>
      <c r="N60">
        <v>36</v>
      </c>
    </row>
    <row r="61" spans="4:14" ht="16.5" x14ac:dyDescent="0.3">
      <c r="D61" s="28" t="s">
        <v>138</v>
      </c>
      <c r="E61" s="28" t="s">
        <v>132</v>
      </c>
      <c r="F61" s="28">
        <v>9</v>
      </c>
      <c r="J61" s="4">
        <v>45218</v>
      </c>
      <c r="K61" s="25">
        <v>0.33333333333333331</v>
      </c>
      <c r="L61" t="s">
        <v>373</v>
      </c>
      <c r="M61" t="s">
        <v>107</v>
      </c>
      <c r="N61">
        <v>20</v>
      </c>
    </row>
    <row r="62" spans="4:14" ht="16.5" x14ac:dyDescent="0.3">
      <c r="D62" s="28" t="s">
        <v>139</v>
      </c>
      <c r="E62" s="28" t="s">
        <v>143</v>
      </c>
      <c r="F62" s="28">
        <v>4</v>
      </c>
      <c r="J62" s="4">
        <v>45218</v>
      </c>
      <c r="K62" s="25">
        <v>0.33333333333333331</v>
      </c>
      <c r="L62" t="s">
        <v>373</v>
      </c>
      <c r="M62" t="s">
        <v>105</v>
      </c>
      <c r="N62">
        <v>73</v>
      </c>
    </row>
    <row r="63" spans="4:14" ht="16.5" x14ac:dyDescent="0.3">
      <c r="D63" s="28" t="s">
        <v>140</v>
      </c>
      <c r="E63" s="28" t="s">
        <v>144</v>
      </c>
      <c r="F63" s="28">
        <v>5</v>
      </c>
      <c r="J63" s="4">
        <v>45218</v>
      </c>
      <c r="K63" s="25">
        <v>0.33333333333333331</v>
      </c>
      <c r="L63" t="s">
        <v>373</v>
      </c>
      <c r="M63" t="s">
        <v>103</v>
      </c>
      <c r="N63">
        <v>24</v>
      </c>
    </row>
    <row r="64" spans="4:14" ht="16.5" x14ac:dyDescent="0.3">
      <c r="D64" s="28" t="s">
        <v>141</v>
      </c>
      <c r="E64" s="28" t="s">
        <v>145</v>
      </c>
      <c r="F64" s="28">
        <v>13</v>
      </c>
      <c r="J64" s="4">
        <v>45218</v>
      </c>
      <c r="K64" s="25">
        <v>0.33333333333333331</v>
      </c>
      <c r="L64" t="s">
        <v>373</v>
      </c>
      <c r="M64" t="s">
        <v>104</v>
      </c>
      <c r="N64">
        <v>67</v>
      </c>
    </row>
    <row r="65" spans="4:14" ht="16.5" x14ac:dyDescent="0.3">
      <c r="D65" s="28" t="s">
        <v>142</v>
      </c>
      <c r="E65" s="28" t="s">
        <v>146</v>
      </c>
      <c r="F65" s="28">
        <v>2</v>
      </c>
      <c r="J65" s="4">
        <v>45218</v>
      </c>
      <c r="K65" s="25">
        <v>0.33333333333333331</v>
      </c>
      <c r="L65" t="s">
        <v>373</v>
      </c>
      <c r="M65" t="s">
        <v>356</v>
      </c>
      <c r="N65">
        <v>21</v>
      </c>
    </row>
    <row r="66" spans="4:14" ht="16.5" x14ac:dyDescent="0.3">
      <c r="D66" s="28" t="s">
        <v>148</v>
      </c>
      <c r="E66" s="28" t="s">
        <v>147</v>
      </c>
      <c r="F66" s="28">
        <v>0</v>
      </c>
      <c r="J66" s="4">
        <v>45218</v>
      </c>
      <c r="K66" s="25">
        <v>0.33333333333333331</v>
      </c>
      <c r="L66" t="s">
        <v>373</v>
      </c>
      <c r="M66" t="s">
        <v>357</v>
      </c>
      <c r="N66">
        <v>0</v>
      </c>
    </row>
    <row r="67" spans="4:14" ht="16.5" x14ac:dyDescent="0.3">
      <c r="D67" s="28" t="s">
        <v>152</v>
      </c>
      <c r="E67" s="28" t="s">
        <v>151</v>
      </c>
      <c r="F67" s="28">
        <v>53</v>
      </c>
      <c r="J67" s="4">
        <v>45218</v>
      </c>
      <c r="K67" s="25">
        <v>0.33333333333333331</v>
      </c>
      <c r="L67" t="s">
        <v>373</v>
      </c>
      <c r="M67" t="s">
        <v>358</v>
      </c>
      <c r="N67">
        <v>17</v>
      </c>
    </row>
    <row r="68" spans="4:14" ht="16.5" x14ac:dyDescent="0.3">
      <c r="D68" s="28" t="s">
        <v>157</v>
      </c>
      <c r="E68" s="28" t="s">
        <v>153</v>
      </c>
      <c r="F68" s="28">
        <v>4</v>
      </c>
      <c r="J68" s="4">
        <v>45218</v>
      </c>
      <c r="K68" s="25">
        <v>0.33333333333333331</v>
      </c>
      <c r="L68" t="s">
        <v>373</v>
      </c>
      <c r="M68" t="s">
        <v>359</v>
      </c>
      <c r="N68">
        <v>13</v>
      </c>
    </row>
    <row r="69" spans="4:14" ht="16.5" x14ac:dyDescent="0.3">
      <c r="D69" s="28" t="s">
        <v>158</v>
      </c>
      <c r="E69" s="28" t="s">
        <v>154</v>
      </c>
      <c r="F69" s="28">
        <v>49</v>
      </c>
      <c r="J69" s="4">
        <v>45218</v>
      </c>
      <c r="K69" s="25">
        <v>0.33333333333333331</v>
      </c>
      <c r="L69" t="s">
        <v>373</v>
      </c>
      <c r="M69" t="s">
        <v>360</v>
      </c>
      <c r="N69">
        <v>12</v>
      </c>
    </row>
    <row r="70" spans="4:14" ht="16.5" x14ac:dyDescent="0.3">
      <c r="D70" s="28" t="s">
        <v>159</v>
      </c>
      <c r="E70" s="28" t="s">
        <v>155</v>
      </c>
      <c r="F70" s="28">
        <v>3</v>
      </c>
      <c r="J70" s="4">
        <v>45218</v>
      </c>
      <c r="K70" s="25">
        <v>0.33333333333333331</v>
      </c>
      <c r="L70" t="s">
        <v>373</v>
      </c>
      <c r="M70" t="s">
        <v>361</v>
      </c>
      <c r="N70">
        <v>60</v>
      </c>
    </row>
    <row r="71" spans="4:14" ht="16.5" x14ac:dyDescent="0.3">
      <c r="D71" s="28" t="s">
        <v>160</v>
      </c>
      <c r="E71" s="28" t="s">
        <v>156</v>
      </c>
      <c r="F71" s="28">
        <v>36</v>
      </c>
      <c r="J71" s="4">
        <v>45218</v>
      </c>
      <c r="K71" s="25">
        <v>0.33333333333333331</v>
      </c>
      <c r="L71" t="s">
        <v>373</v>
      </c>
      <c r="M71" t="s">
        <v>362</v>
      </c>
      <c r="N71">
        <v>8</v>
      </c>
    </row>
    <row r="72" spans="4:14" ht="16.5" x14ac:dyDescent="0.3">
      <c r="D72" s="28" t="s">
        <v>165</v>
      </c>
      <c r="E72" s="28" t="s">
        <v>166</v>
      </c>
      <c r="F72" s="28">
        <v>67</v>
      </c>
      <c r="J72" s="4">
        <v>45218</v>
      </c>
      <c r="K72" s="25">
        <v>0.33333333333333331</v>
      </c>
      <c r="L72" t="s">
        <v>373</v>
      </c>
      <c r="M72" t="s">
        <v>363</v>
      </c>
      <c r="N72">
        <v>0</v>
      </c>
    </row>
    <row r="73" spans="4:14" ht="16.5" x14ac:dyDescent="0.3">
      <c r="D73" s="28" t="s">
        <v>174</v>
      </c>
      <c r="E73" s="28" t="s">
        <v>167</v>
      </c>
      <c r="F73" s="28">
        <v>0</v>
      </c>
      <c r="J73" s="4">
        <v>45218</v>
      </c>
      <c r="K73" s="25">
        <v>0.33333333333333331</v>
      </c>
      <c r="L73" t="s">
        <v>373</v>
      </c>
      <c r="M73" t="s">
        <v>364</v>
      </c>
      <c r="N73">
        <v>99</v>
      </c>
    </row>
    <row r="74" spans="4:14" ht="16.5" x14ac:dyDescent="0.3">
      <c r="D74" s="28" t="s">
        <v>175</v>
      </c>
      <c r="E74" s="28" t="s">
        <v>168</v>
      </c>
      <c r="F74" s="28">
        <v>0</v>
      </c>
      <c r="J74" s="4">
        <v>45218</v>
      </c>
      <c r="K74" s="25">
        <v>0.33333333333333331</v>
      </c>
      <c r="L74" t="s">
        <v>373</v>
      </c>
      <c r="M74" t="s">
        <v>365</v>
      </c>
      <c r="N74">
        <v>15</v>
      </c>
    </row>
    <row r="75" spans="4:14" ht="16.5" x14ac:dyDescent="0.3">
      <c r="D75" s="28" t="s">
        <v>176</v>
      </c>
      <c r="E75" s="28" t="s">
        <v>169</v>
      </c>
      <c r="F75" s="28">
        <v>0</v>
      </c>
      <c r="J75" s="4">
        <v>45218</v>
      </c>
      <c r="K75" s="25">
        <v>0.33333333333333331</v>
      </c>
      <c r="L75" t="s">
        <v>373</v>
      </c>
      <c r="M75" t="s">
        <v>366</v>
      </c>
      <c r="N75">
        <v>9</v>
      </c>
    </row>
    <row r="76" spans="4:14" ht="16.5" x14ac:dyDescent="0.3">
      <c r="D76" s="28" t="s">
        <v>177</v>
      </c>
      <c r="E76" s="28" t="s">
        <v>170</v>
      </c>
      <c r="F76" s="28">
        <v>61</v>
      </c>
      <c r="J76" s="4">
        <v>45218</v>
      </c>
      <c r="K76" s="25">
        <v>0.33333333333333331</v>
      </c>
      <c r="L76" t="s">
        <v>373</v>
      </c>
      <c r="M76" t="s">
        <v>367</v>
      </c>
      <c r="N76">
        <v>10</v>
      </c>
    </row>
    <row r="77" spans="4:14" ht="16.5" x14ac:dyDescent="0.3">
      <c r="D77" s="28" t="s">
        <v>178</v>
      </c>
      <c r="E77" s="28" t="s">
        <v>171</v>
      </c>
      <c r="F77" s="28">
        <v>0</v>
      </c>
      <c r="J77" s="4">
        <v>45218</v>
      </c>
      <c r="K77" s="25">
        <v>0.33333333333333331</v>
      </c>
      <c r="L77" t="s">
        <v>373</v>
      </c>
      <c r="M77" t="s">
        <v>368</v>
      </c>
      <c r="N77">
        <v>15</v>
      </c>
    </row>
    <row r="78" spans="4:14" ht="16.5" x14ac:dyDescent="0.3">
      <c r="D78" s="28" t="s">
        <v>179</v>
      </c>
      <c r="E78" s="28" t="s">
        <v>172</v>
      </c>
      <c r="F78" s="28">
        <v>23</v>
      </c>
      <c r="J78" s="4">
        <v>45218</v>
      </c>
      <c r="K78" s="25">
        <v>0.33333333333333331</v>
      </c>
      <c r="L78" t="s">
        <v>373</v>
      </c>
      <c r="M78" t="s">
        <v>369</v>
      </c>
      <c r="N78">
        <v>14</v>
      </c>
    </row>
    <row r="79" spans="4:14" ht="16.5" x14ac:dyDescent="0.3">
      <c r="D79" s="28" t="s">
        <v>180</v>
      </c>
      <c r="E79" s="28" t="s">
        <v>173</v>
      </c>
      <c r="F79" s="28">
        <v>32</v>
      </c>
      <c r="J79" s="4">
        <v>45218</v>
      </c>
      <c r="K79" s="25">
        <v>0.33333333333333331</v>
      </c>
      <c r="L79" t="s">
        <v>184</v>
      </c>
      <c r="M79" t="s">
        <v>187</v>
      </c>
      <c r="N79">
        <v>13</v>
      </c>
    </row>
    <row r="80" spans="4:14" ht="16.5" x14ac:dyDescent="0.3">
      <c r="D80" s="28" t="s">
        <v>185</v>
      </c>
      <c r="E80" s="28" t="s">
        <v>181</v>
      </c>
      <c r="F80" s="28">
        <v>28</v>
      </c>
      <c r="J80" s="4">
        <v>45218</v>
      </c>
      <c r="K80" s="25">
        <v>0.33333333333333331</v>
      </c>
      <c r="L80" t="s">
        <v>184</v>
      </c>
      <c r="M80" t="s">
        <v>188</v>
      </c>
      <c r="N80">
        <v>39</v>
      </c>
    </row>
    <row r="81" spans="4:14" ht="16.5" x14ac:dyDescent="0.3">
      <c r="D81" s="28" t="s">
        <v>221</v>
      </c>
      <c r="E81" s="28" t="s">
        <v>186</v>
      </c>
      <c r="F81" s="28">
        <v>0</v>
      </c>
      <c r="J81" s="4">
        <v>45218</v>
      </c>
      <c r="K81" s="25">
        <v>0.33333333333333331</v>
      </c>
      <c r="L81" t="s">
        <v>184</v>
      </c>
      <c r="M81" t="s">
        <v>181</v>
      </c>
      <c r="N81">
        <v>28</v>
      </c>
    </row>
    <row r="82" spans="4:14" ht="16.5" x14ac:dyDescent="0.3">
      <c r="D82" s="28" t="s">
        <v>222</v>
      </c>
      <c r="E82" s="28" t="s">
        <v>187</v>
      </c>
      <c r="F82" s="28">
        <v>13</v>
      </c>
      <c r="J82" s="4">
        <v>45218</v>
      </c>
      <c r="K82" s="25">
        <v>0.33333333333333331</v>
      </c>
      <c r="L82" t="s">
        <v>184</v>
      </c>
      <c r="M82" t="s">
        <v>186</v>
      </c>
      <c r="N82">
        <v>0</v>
      </c>
    </row>
    <row r="83" spans="4:14" ht="16.5" x14ac:dyDescent="0.3">
      <c r="D83" s="28" t="s">
        <v>223</v>
      </c>
      <c r="E83" s="28" t="s">
        <v>188</v>
      </c>
      <c r="F83" s="28">
        <v>39</v>
      </c>
      <c r="J83" s="4">
        <v>45218</v>
      </c>
      <c r="K83" s="25">
        <v>0.33333333333333331</v>
      </c>
      <c r="L83" t="s">
        <v>133</v>
      </c>
      <c r="M83" t="s">
        <v>144</v>
      </c>
      <c r="N83">
        <v>5</v>
      </c>
    </row>
    <row r="84" spans="4:14" ht="16.5" x14ac:dyDescent="0.3">
      <c r="D84" s="28" t="s">
        <v>191</v>
      </c>
      <c r="E84" s="28" t="s">
        <v>192</v>
      </c>
      <c r="F84" s="28">
        <v>69</v>
      </c>
      <c r="J84" s="4">
        <v>45218</v>
      </c>
      <c r="K84" s="25">
        <v>0.33333333333333331</v>
      </c>
      <c r="L84" t="s">
        <v>133</v>
      </c>
      <c r="M84" t="s">
        <v>145</v>
      </c>
      <c r="N84">
        <v>13</v>
      </c>
    </row>
    <row r="85" spans="4:14" ht="16.5" x14ac:dyDescent="0.3">
      <c r="D85" s="28" t="s">
        <v>204</v>
      </c>
      <c r="E85" s="28" t="s">
        <v>193</v>
      </c>
      <c r="F85" s="28">
        <v>67</v>
      </c>
      <c r="J85" s="4">
        <v>45218</v>
      </c>
      <c r="K85" s="25">
        <v>0.33333333333333331</v>
      </c>
      <c r="L85" t="s">
        <v>133</v>
      </c>
      <c r="M85" t="s">
        <v>146</v>
      </c>
      <c r="N85">
        <v>2</v>
      </c>
    </row>
    <row r="86" spans="4:14" ht="16.5" x14ac:dyDescent="0.3">
      <c r="D86" s="28" t="s">
        <v>205</v>
      </c>
      <c r="E86" s="28" t="s">
        <v>194</v>
      </c>
      <c r="F86" s="28">
        <v>4</v>
      </c>
      <c r="J86" s="4">
        <v>45218</v>
      </c>
      <c r="K86" s="25">
        <v>0.33333333333333331</v>
      </c>
      <c r="L86" t="s">
        <v>133</v>
      </c>
      <c r="M86" t="s">
        <v>143</v>
      </c>
      <c r="N86">
        <v>4</v>
      </c>
    </row>
    <row r="87" spans="4:14" ht="16.5" x14ac:dyDescent="0.3">
      <c r="D87" s="28" t="s">
        <v>206</v>
      </c>
      <c r="E87" s="28" t="s">
        <v>195</v>
      </c>
      <c r="F87" s="28">
        <v>10</v>
      </c>
      <c r="J87" s="4">
        <v>45218</v>
      </c>
      <c r="K87" s="25">
        <v>0.33333333333333331</v>
      </c>
      <c r="L87" t="s">
        <v>133</v>
      </c>
      <c r="M87" t="s">
        <v>147</v>
      </c>
      <c r="N87">
        <v>0</v>
      </c>
    </row>
    <row r="88" spans="4:14" ht="16.5" x14ac:dyDescent="0.3">
      <c r="D88" s="28" t="s">
        <v>207</v>
      </c>
      <c r="E88" s="28" t="s">
        <v>196</v>
      </c>
      <c r="F88" s="28">
        <v>15</v>
      </c>
      <c r="J88" s="4">
        <v>45218</v>
      </c>
      <c r="K88" s="25">
        <v>0.33333333333333331</v>
      </c>
      <c r="L88" t="s">
        <v>133</v>
      </c>
      <c r="M88" t="s">
        <v>170</v>
      </c>
      <c r="N88">
        <v>61</v>
      </c>
    </row>
    <row r="89" spans="4:14" ht="16.5" x14ac:dyDescent="0.3">
      <c r="D89" s="28" t="s">
        <v>208</v>
      </c>
      <c r="E89" s="28" t="s">
        <v>197</v>
      </c>
      <c r="F89" s="28">
        <v>5</v>
      </c>
      <c r="J89" s="4">
        <v>45218</v>
      </c>
      <c r="K89" s="25">
        <v>0.33333333333333331</v>
      </c>
      <c r="L89" t="s">
        <v>133</v>
      </c>
      <c r="M89" t="s">
        <v>171</v>
      </c>
      <c r="N89">
        <v>0</v>
      </c>
    </row>
    <row r="90" spans="4:14" ht="16.5" x14ac:dyDescent="0.3">
      <c r="D90" s="28" t="s">
        <v>209</v>
      </c>
      <c r="E90" s="28" t="s">
        <v>198</v>
      </c>
      <c r="F90" s="28">
        <v>4</v>
      </c>
      <c r="J90" s="4">
        <v>45218</v>
      </c>
      <c r="K90" s="25">
        <v>0.33333333333333331</v>
      </c>
      <c r="L90" t="s">
        <v>133</v>
      </c>
      <c r="M90" t="s">
        <v>172</v>
      </c>
      <c r="N90">
        <v>23</v>
      </c>
    </row>
    <row r="91" spans="4:14" ht="16.5" x14ac:dyDescent="0.3">
      <c r="D91" s="28" t="s">
        <v>210</v>
      </c>
      <c r="E91" s="28" t="s">
        <v>199</v>
      </c>
      <c r="F91" s="28">
        <v>0</v>
      </c>
      <c r="J91" s="4">
        <v>45218</v>
      </c>
      <c r="K91" s="25">
        <v>0.33333333333333331</v>
      </c>
      <c r="L91" t="s">
        <v>133</v>
      </c>
      <c r="M91" t="s">
        <v>173</v>
      </c>
      <c r="N91">
        <v>32</v>
      </c>
    </row>
    <row r="92" spans="4:14" ht="16.5" x14ac:dyDescent="0.3">
      <c r="D92" s="28" t="s">
        <v>211</v>
      </c>
      <c r="E92" s="28" t="s">
        <v>200</v>
      </c>
      <c r="F92" s="28">
        <v>10</v>
      </c>
      <c r="J92" s="4">
        <v>45218</v>
      </c>
      <c r="K92" s="25">
        <v>0.33333333333333331</v>
      </c>
      <c r="L92" t="s">
        <v>133</v>
      </c>
      <c r="M92" t="s">
        <v>166</v>
      </c>
      <c r="N92">
        <v>67</v>
      </c>
    </row>
    <row r="93" spans="4:14" ht="16.5" x14ac:dyDescent="0.3">
      <c r="D93" s="28" t="s">
        <v>212</v>
      </c>
      <c r="E93" s="28" t="s">
        <v>201</v>
      </c>
      <c r="F93" s="28">
        <v>0</v>
      </c>
      <c r="J93" s="4">
        <v>45218</v>
      </c>
      <c r="K93" s="25">
        <v>0.33333333333333331</v>
      </c>
      <c r="L93" t="s">
        <v>133</v>
      </c>
      <c r="M93" t="s">
        <v>167</v>
      </c>
      <c r="N93">
        <v>0</v>
      </c>
    </row>
    <row r="94" spans="4:14" ht="16.5" x14ac:dyDescent="0.3">
      <c r="D94" s="28" t="s">
        <v>213</v>
      </c>
      <c r="E94" s="28" t="s">
        <v>202</v>
      </c>
      <c r="F94" s="28">
        <v>0</v>
      </c>
      <c r="J94" s="4">
        <v>45218</v>
      </c>
      <c r="K94" s="25">
        <v>0.33333333333333331</v>
      </c>
      <c r="L94" t="s">
        <v>133</v>
      </c>
      <c r="M94" t="s">
        <v>168</v>
      </c>
      <c r="N94">
        <v>0</v>
      </c>
    </row>
    <row r="95" spans="4:14" ht="16.5" x14ac:dyDescent="0.3">
      <c r="D95" s="28" t="s">
        <v>214</v>
      </c>
      <c r="E95" s="28" t="s">
        <v>203</v>
      </c>
      <c r="F95" s="28">
        <v>0</v>
      </c>
      <c r="J95" s="4">
        <v>45218</v>
      </c>
      <c r="K95" s="25">
        <v>0.33333333333333331</v>
      </c>
      <c r="L95" t="s">
        <v>133</v>
      </c>
      <c r="M95" t="s">
        <v>169</v>
      </c>
      <c r="N95">
        <v>0</v>
      </c>
    </row>
    <row r="96" spans="4:14" ht="16.5" x14ac:dyDescent="0.3">
      <c r="D96" s="28" t="s">
        <v>370</v>
      </c>
      <c r="E96" s="28"/>
      <c r="F96" s="28">
        <v>2015</v>
      </c>
      <c r="J96" s="4">
        <v>45219</v>
      </c>
      <c r="K96" s="25">
        <v>0.33333333333333331</v>
      </c>
      <c r="L96" t="s">
        <v>373</v>
      </c>
      <c r="M96" t="s">
        <v>364</v>
      </c>
      <c r="N96">
        <v>-2</v>
      </c>
    </row>
    <row r="97" spans="10:14" x14ac:dyDescent="0.25">
      <c r="J97" s="4">
        <v>45224</v>
      </c>
      <c r="K97" s="25">
        <v>0.33333333333333331</v>
      </c>
      <c r="L97" t="s">
        <v>373</v>
      </c>
      <c r="M97" t="s">
        <v>364</v>
      </c>
      <c r="N97">
        <v>-2</v>
      </c>
    </row>
    <row r="98" spans="10:14" x14ac:dyDescent="0.25">
      <c r="J98" s="4">
        <v>45255</v>
      </c>
      <c r="K98" s="25">
        <v>0.33333333333333331</v>
      </c>
      <c r="L98" t="s">
        <v>373</v>
      </c>
      <c r="M98" t="s">
        <v>361</v>
      </c>
      <c r="N98">
        <v>-31</v>
      </c>
    </row>
    <row r="99" spans="10:14" x14ac:dyDescent="0.25">
      <c r="J99" s="4">
        <v>45255</v>
      </c>
      <c r="K99" s="25">
        <v>0.33333333333333331</v>
      </c>
      <c r="L99" t="s">
        <v>373</v>
      </c>
      <c r="M99" t="s">
        <v>364</v>
      </c>
      <c r="N99">
        <v>-7</v>
      </c>
    </row>
    <row r="100" spans="10:14" x14ac:dyDescent="0.25">
      <c r="J100" s="4">
        <v>45302</v>
      </c>
      <c r="K100" s="25">
        <v>0.33333333333333331</v>
      </c>
      <c r="L100" t="s">
        <v>373</v>
      </c>
      <c r="M100" t="s">
        <v>361</v>
      </c>
      <c r="N100">
        <v>-9</v>
      </c>
    </row>
    <row r="101" spans="10:14" x14ac:dyDescent="0.25">
      <c r="J101" s="4">
        <v>45302</v>
      </c>
      <c r="K101" s="25">
        <v>0.33333333333333331</v>
      </c>
      <c r="L101" t="s">
        <v>373</v>
      </c>
      <c r="M101" t="s">
        <v>364</v>
      </c>
      <c r="N101">
        <v>-44</v>
      </c>
    </row>
    <row r="102" spans="10:14" x14ac:dyDescent="0.25">
      <c r="J102" t="s">
        <v>370</v>
      </c>
      <c r="N102">
        <v>2015</v>
      </c>
    </row>
  </sheetData>
  <mergeCells count="3">
    <mergeCell ref="A1:XFD3"/>
    <mergeCell ref="D5:F5"/>
    <mergeCell ref="J5:N5"/>
  </mergeCells>
  <conditionalFormatting pivot="1" sqref="N8:N102">
    <cfRule type="cellIs" dxfId="8" priority="7" operator="greaterThan">
      <formula>0</formula>
    </cfRule>
  </conditionalFormatting>
  <conditionalFormatting pivot="1" sqref="N8:N102">
    <cfRule type="cellIs" dxfId="7" priority="6" operator="lessThan">
      <formula>0</formula>
    </cfRule>
  </conditionalFormatting>
  <conditionalFormatting pivot="1" sqref="N8:N102">
    <cfRule type="cellIs" dxfId="6"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N8:N102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topLeftCell="B1" zoomScale="130" zoomScaleNormal="130" workbookViewId="0">
      <selection activeCell="D2" sqref="D2"/>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F2">
        <f>_xlfn.XLOOKUP(entradas_inv[[#This Row],[ID]],'DESCRIPCION PRODUCTOS'!G:G,'DESCRIPCION PRODUCTOS'!H:H)</f>
        <v>0</v>
      </c>
      <c r="M2" s="1"/>
    </row>
    <row r="3" spans="1:13" x14ac:dyDescent="0.25">
      <c r="M3" s="1"/>
    </row>
    <row r="4" spans="1:13" x14ac:dyDescent="0.25">
      <c r="M4" s="1"/>
    </row>
    <row r="5" spans="1:13" x14ac:dyDescent="0.25">
      <c r="M5" s="1"/>
    </row>
    <row r="6" spans="1:13" x14ac:dyDescent="0.25">
      <c r="M6" s="1"/>
    </row>
    <row r="7" spans="1:13" x14ac:dyDescent="0.25">
      <c r="M7" s="1"/>
    </row>
    <row r="8" spans="1:13" x14ac:dyDescent="0.25">
      <c r="M8" s="1"/>
    </row>
    <row r="9" spans="1:13" x14ac:dyDescent="0.25">
      <c r="M9" s="1"/>
    </row>
    <row r="10" spans="1:13" x14ac:dyDescent="0.25">
      <c r="M10" s="1"/>
    </row>
    <row r="11" spans="1:13" x14ac:dyDescent="0.25">
      <c r="M11" s="1"/>
    </row>
    <row r="12" spans="1:13" x14ac:dyDescent="0.25">
      <c r="M12" s="1"/>
    </row>
    <row r="13" spans="1:13" x14ac:dyDescent="0.25">
      <c r="M13" s="1"/>
    </row>
    <row r="14" spans="1:13" x14ac:dyDescent="0.25">
      <c r="M14" s="1"/>
    </row>
    <row r="15" spans="1:13" x14ac:dyDescent="0.25">
      <c r="J15" s="2"/>
      <c r="M15" s="1"/>
    </row>
    <row r="16" spans="1:13" x14ac:dyDescent="0.25">
      <c r="M16" s="1"/>
    </row>
    <row r="23" spans="12:12" x14ac:dyDescent="0.25">
      <c r="L23" s="4"/>
    </row>
  </sheetData>
  <dataValidations count="1">
    <dataValidation type="list" allowBlank="1" showInputMessage="1" showErrorMessage="1" sqref="A2"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tabSelected="1" zoomScaleNormal="100" workbookViewId="0">
      <selection activeCell="N33" sqref="N33"/>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9"/>
      <c r="B2" s="29"/>
      <c r="C2" s="29"/>
      <c r="D2" s="29"/>
      <c r="E2" s="29"/>
      <c r="F2" s="29"/>
      <c r="G2" s="29"/>
      <c r="H2" s="29"/>
    </row>
    <row r="3" spans="1:8" ht="15" customHeight="1" x14ac:dyDescent="0.25">
      <c r="A3" s="29"/>
      <c r="B3" s="37" t="s">
        <v>399</v>
      </c>
      <c r="C3" s="37"/>
      <c r="D3" s="37"/>
      <c r="E3" s="39" t="s">
        <v>406</v>
      </c>
      <c r="F3" s="39"/>
      <c r="G3" s="39"/>
      <c r="H3" s="29"/>
    </row>
    <row r="4" spans="1:8" ht="15" customHeight="1" x14ac:dyDescent="0.25">
      <c r="A4" s="29"/>
      <c r="B4" s="37"/>
      <c r="C4" s="37"/>
      <c r="D4" s="37"/>
      <c r="E4" s="39"/>
      <c r="F4" s="39"/>
      <c r="G4" s="39"/>
      <c r="H4" s="29"/>
    </row>
    <row r="5" spans="1:8" ht="15" customHeight="1" x14ac:dyDescent="0.25"/>
    <row r="6" spans="1:8" ht="15" customHeight="1" x14ac:dyDescent="0.25">
      <c r="B6" s="43" t="s">
        <v>400</v>
      </c>
      <c r="C6" s="43"/>
      <c r="D6" s="40"/>
      <c r="E6" s="40"/>
      <c r="F6" s="48" t="s">
        <v>381</v>
      </c>
      <c r="G6" s="50">
        <f ca="1">IF(factura_ultima="FACTURA_ID",1,factura_ultima)</f>
        <v>10</v>
      </c>
    </row>
    <row r="7" spans="1:8" x14ac:dyDescent="0.25">
      <c r="B7" s="43"/>
      <c r="C7" s="43"/>
      <c r="D7" s="40"/>
      <c r="E7" s="40"/>
      <c r="F7" s="49" t="s">
        <v>382</v>
      </c>
      <c r="G7" s="42">
        <f ca="1">TODAY()</f>
        <v>45329</v>
      </c>
    </row>
    <row r="8" spans="1:8" x14ac:dyDescent="0.25">
      <c r="B8" s="41"/>
      <c r="C8" s="41"/>
      <c r="D8" s="40"/>
      <c r="E8" s="40"/>
      <c r="F8" s="40"/>
      <c r="G8" s="40"/>
    </row>
    <row r="9" spans="1:8" x14ac:dyDescent="0.25">
      <c r="B9" s="44" t="s">
        <v>401</v>
      </c>
      <c r="C9" s="46">
        <v>3184278532</v>
      </c>
      <c r="D9" s="40"/>
      <c r="E9" s="40"/>
      <c r="F9" s="45" t="s">
        <v>383</v>
      </c>
      <c r="G9" s="52" t="s">
        <v>397</v>
      </c>
    </row>
    <row r="10" spans="1:8" x14ac:dyDescent="0.25">
      <c r="B10" s="54" t="s">
        <v>402</v>
      </c>
      <c r="C10" s="55" t="s">
        <v>403</v>
      </c>
      <c r="D10" s="40"/>
      <c r="E10" s="40"/>
      <c r="F10" s="51" t="s">
        <v>407</v>
      </c>
      <c r="G10" s="53" t="s">
        <v>409</v>
      </c>
    </row>
    <row r="11" spans="1:8" x14ac:dyDescent="0.25">
      <c r="B11" s="54" t="s">
        <v>404</v>
      </c>
      <c r="C11" s="55" t="s">
        <v>405</v>
      </c>
      <c r="D11" s="40"/>
      <c r="E11" s="40"/>
      <c r="F11" s="51" t="s">
        <v>408</v>
      </c>
      <c r="G11" s="47">
        <v>3138562603</v>
      </c>
    </row>
    <row r="12" spans="1:8" x14ac:dyDescent="0.25">
      <c r="H12" s="38"/>
    </row>
    <row r="14" spans="1:8" ht="16.5" x14ac:dyDescent="0.3">
      <c r="B14" s="28" t="s">
        <v>0</v>
      </c>
      <c r="C14" s="28" t="s">
        <v>1</v>
      </c>
      <c r="D14" s="28" t="s">
        <v>380</v>
      </c>
      <c r="E14" s="28" t="s">
        <v>398</v>
      </c>
      <c r="F14" s="28" t="s">
        <v>3</v>
      </c>
      <c r="G14" s="28" t="s">
        <v>215</v>
      </c>
      <c r="H14" s="28"/>
    </row>
    <row r="15" spans="1:8" ht="16.5" x14ac:dyDescent="0.3">
      <c r="B15" s="28" t="s">
        <v>18</v>
      </c>
      <c r="C15" s="28" t="str">
        <f>IFERROR( _xlfn.XLOOKUP(factura_tb[[#This Row],[ID]],total_leyenda[ID],total_leyenda[DESCRIPCION]), "")</f>
        <v xml:space="preserve">Parafinado disenio rojo rollo 100 metros </v>
      </c>
      <c r="D15" s="28">
        <v>5</v>
      </c>
      <c r="E15" s="72">
        <f>IFERROR( _xlfn.XLOOKUP(factura_tb[[#This Row],[ID]],total_leyenda[ID],total_leyenda[precio unitario]), "")</f>
        <v>84.13</v>
      </c>
      <c r="F15" s="28"/>
      <c r="G15" s="73">
        <f>IFERROR( _xlfn.XLOOKUP(factura_tb[[#This Row],[ID]],total_leyenda[ID],total_leyenda[precio unitario])*factura_tb[[#This Row],[CANTIDAD]], "")</f>
        <v>420.65</v>
      </c>
      <c r="H15" s="28"/>
    </row>
    <row r="16" spans="1:8" ht="16.5" x14ac:dyDescent="0.3">
      <c r="B16" s="28"/>
      <c r="C16" s="35" t="str">
        <f>IFERROR( _xlfn.XLOOKUP(factura_tb[[#This Row],[ID]],total_leyenda[ID],total_leyenda[DESCRIPCION]), "")</f>
        <v/>
      </c>
      <c r="D16" s="28"/>
      <c r="E16" s="72" t="str">
        <f>IFERROR( _xlfn.XLOOKUP(factura_tb[[#This Row],[ID]],total_leyenda[ID],total_leyenda[precio unitario]), "")</f>
        <v/>
      </c>
      <c r="F16" s="36"/>
      <c r="G16" s="73" t="str">
        <f>IFERROR( _xlfn.XLOOKUP(factura_tb[[#This Row],[ID]],total_leyenda[ID],total_leyenda[precio unitario])*factura_tb[[#This Row],[CANTIDAD]], "")</f>
        <v/>
      </c>
      <c r="H16" s="28"/>
    </row>
    <row r="17" spans="2:13" ht="16.5" x14ac:dyDescent="0.3">
      <c r="B17" s="28"/>
      <c r="C17" s="35" t="str">
        <f>IFERROR( _xlfn.XLOOKUP(factura_tb[[#This Row],[ID]],total_leyenda[ID],total_leyenda[DESCRIPCION]), "")</f>
        <v/>
      </c>
      <c r="D17" s="28"/>
      <c r="E17" s="72" t="str">
        <f>IFERROR( _xlfn.XLOOKUP(factura_tb[[#This Row],[ID]],total_leyenda[ID],total_leyenda[precio unitario]), "")</f>
        <v/>
      </c>
      <c r="F17" s="36"/>
      <c r="G17" s="73" t="str">
        <f>IFERROR( _xlfn.XLOOKUP(factura_tb[[#This Row],[ID]],total_leyenda[ID],total_leyenda[precio unitario])*factura_tb[[#This Row],[CANTIDAD]], "")</f>
        <v/>
      </c>
      <c r="H17" s="28"/>
    </row>
    <row r="18" spans="2:13" ht="16.5" x14ac:dyDescent="0.3">
      <c r="B18" s="28"/>
      <c r="C18" s="35" t="str">
        <f>IFERROR( _xlfn.XLOOKUP(factura_tb[[#This Row],[ID]],total_leyenda[ID],total_leyenda[DESCRIPCION]), "")</f>
        <v/>
      </c>
      <c r="D18" s="28"/>
      <c r="E18" s="72" t="str">
        <f>IFERROR( _xlfn.XLOOKUP(factura_tb[[#This Row],[ID]],total_leyenda[ID],total_leyenda[precio unitario]), "")</f>
        <v/>
      </c>
      <c r="F18" s="36"/>
      <c r="G18" s="73" t="str">
        <f>IFERROR( _xlfn.XLOOKUP(factura_tb[[#This Row],[ID]],total_leyenda[ID],total_leyenda[precio unitario])*factura_tb[[#This Row],[CANTIDAD]], "")</f>
        <v/>
      </c>
      <c r="H18" s="28"/>
    </row>
    <row r="19" spans="2:13" ht="16.5" x14ac:dyDescent="0.3">
      <c r="B19" s="28"/>
      <c r="C19" s="35" t="str">
        <f>IFERROR( _xlfn.XLOOKUP(factura_tb[[#This Row],[ID]],total_leyenda[ID],total_leyenda[DESCRIPCION]), "")</f>
        <v/>
      </c>
      <c r="D19" s="28"/>
      <c r="E19" s="72" t="str">
        <f>IFERROR( _xlfn.XLOOKUP(factura_tb[[#This Row],[ID]],total_leyenda[ID],total_leyenda[precio unitario]), "")</f>
        <v/>
      </c>
      <c r="F19" s="36"/>
      <c r="G19" s="73" t="str">
        <f>IFERROR( _xlfn.XLOOKUP(factura_tb[[#This Row],[ID]],total_leyenda[ID],total_leyenda[precio unitario])*factura_tb[[#This Row],[CANTIDAD]], "")</f>
        <v/>
      </c>
      <c r="H19" s="28"/>
    </row>
    <row r="20" spans="2:13" ht="16.5" x14ac:dyDescent="0.3">
      <c r="B20" s="28"/>
      <c r="C20" s="35" t="str">
        <f>IFERROR( _xlfn.XLOOKUP(factura_tb[[#This Row],[ID]],total_leyenda[ID],total_leyenda[DESCRIPCION]), "")</f>
        <v/>
      </c>
      <c r="D20" s="28"/>
      <c r="E20" s="72" t="str">
        <f>IFERROR( _xlfn.XLOOKUP(factura_tb[[#This Row],[ID]],total_leyenda[ID],total_leyenda[precio unitario]), "")</f>
        <v/>
      </c>
      <c r="F20" s="36"/>
      <c r="G20" s="73" t="str">
        <f>IFERROR( _xlfn.XLOOKUP(factura_tb[[#This Row],[ID]],total_leyenda[ID],total_leyenda[precio unitario])*factura_tb[[#This Row],[CANTIDAD]], "")</f>
        <v/>
      </c>
      <c r="H20" s="28"/>
    </row>
    <row r="21" spans="2:13" ht="16.5" x14ac:dyDescent="0.3">
      <c r="B21" s="28"/>
      <c r="C21" s="35" t="str">
        <f>IFERROR( _xlfn.XLOOKUP(factura_tb[[#This Row],[ID]],total_leyenda[ID],total_leyenda[DESCRIPCION]), "")</f>
        <v/>
      </c>
      <c r="D21" s="28"/>
      <c r="E21" s="72" t="str">
        <f>IFERROR( _xlfn.XLOOKUP(factura_tb[[#This Row],[ID]],total_leyenda[ID],total_leyenda[precio unitario]), "")</f>
        <v/>
      </c>
      <c r="F21" s="36"/>
      <c r="G21" s="73" t="str">
        <f>IFERROR( _xlfn.XLOOKUP(factura_tb[[#This Row],[ID]],total_leyenda[ID],total_leyenda[precio unitario])*factura_tb[[#This Row],[CANTIDAD]], "")</f>
        <v/>
      </c>
      <c r="H21" s="28"/>
    </row>
    <row r="22" spans="2:13" ht="16.5" x14ac:dyDescent="0.3">
      <c r="B22" s="28"/>
      <c r="C22" s="35" t="str">
        <f>IFERROR( _xlfn.XLOOKUP(factura_tb[[#This Row],[ID]],total_leyenda[ID],total_leyenda[DESCRIPCION]), "")</f>
        <v/>
      </c>
      <c r="D22" s="28"/>
      <c r="E22" s="72" t="str">
        <f>IFERROR( _xlfn.XLOOKUP(factura_tb[[#This Row],[ID]],total_leyenda[ID],total_leyenda[precio unitario]), "")</f>
        <v/>
      </c>
      <c r="F22" s="36"/>
      <c r="G22" s="73" t="str">
        <f>IFERROR( _xlfn.XLOOKUP(factura_tb[[#This Row],[ID]],total_leyenda[ID],total_leyenda[precio unitario])*factura_tb[[#This Row],[CANTIDAD]], "")</f>
        <v/>
      </c>
      <c r="H22" s="28"/>
    </row>
    <row r="23" spans="2:13" ht="16.5" x14ac:dyDescent="0.3">
      <c r="B23" s="28"/>
      <c r="C23" s="35" t="str">
        <f>IFERROR( _xlfn.XLOOKUP(factura_tb[[#This Row],[ID]],total_leyenda[ID],total_leyenda[DESCRIPCION]), "")</f>
        <v/>
      </c>
      <c r="D23" s="28"/>
      <c r="E23" s="72" t="str">
        <f>IFERROR( _xlfn.XLOOKUP(factura_tb[[#This Row],[ID]],total_leyenda[ID],total_leyenda[precio unitario]), "")</f>
        <v/>
      </c>
      <c r="F23" s="36"/>
      <c r="G23" s="73" t="str">
        <f>IFERROR( _xlfn.XLOOKUP(factura_tb[[#This Row],[ID]],total_leyenda[ID],total_leyenda[precio unitario])*factura_tb[[#This Row],[CANTIDAD]], "")</f>
        <v/>
      </c>
      <c r="H23" s="28"/>
      <c r="M23" t="s">
        <v>231</v>
      </c>
    </row>
    <row r="24" spans="2:13" ht="16.5" x14ac:dyDescent="0.3">
      <c r="B24" s="28"/>
      <c r="C24" s="35" t="str">
        <f>IFERROR( _xlfn.XLOOKUP(factura_tb[[#This Row],[ID]],total_leyenda[ID],total_leyenda[DESCRIPCION]), "")</f>
        <v/>
      </c>
      <c r="D24" s="28"/>
      <c r="E24" s="72" t="str">
        <f>IFERROR( _xlfn.XLOOKUP(factura_tb[[#This Row],[ID]],total_leyenda[ID],total_leyenda[precio unitario]), "")</f>
        <v/>
      </c>
      <c r="F24" s="36"/>
      <c r="G24" s="73" t="str">
        <f>IFERROR( _xlfn.XLOOKUP(factura_tb[[#This Row],[ID]],total_leyenda[ID],total_leyenda[precio unitario])*factura_tb[[#This Row],[CANTIDAD]], "")</f>
        <v/>
      </c>
      <c r="H24" s="28"/>
    </row>
    <row r="25" spans="2:13" ht="16.5" x14ac:dyDescent="0.3">
      <c r="B25" s="28"/>
      <c r="C25" s="35" t="str">
        <f>IFERROR( _xlfn.XLOOKUP(factura_tb[[#This Row],[ID]],total_leyenda[ID],total_leyenda[DESCRIPCION]), "")</f>
        <v/>
      </c>
      <c r="D25" s="28"/>
      <c r="E25" s="72" t="str">
        <f>IFERROR( _xlfn.XLOOKUP(factura_tb[[#This Row],[ID]],total_leyenda[ID],total_leyenda[precio unitario]), "")</f>
        <v/>
      </c>
      <c r="F25" s="36"/>
      <c r="G25" s="73" t="str">
        <f>IFERROR( _xlfn.XLOOKUP(factura_tb[[#This Row],[ID]],total_leyenda[ID],total_leyenda[precio unitario])*factura_tb[[#This Row],[CANTIDAD]], "")</f>
        <v/>
      </c>
      <c r="H25" s="28"/>
    </row>
    <row r="26" spans="2:13" ht="16.5" x14ac:dyDescent="0.3">
      <c r="B26" s="28"/>
      <c r="C26" s="35" t="str">
        <f>IFERROR( _xlfn.XLOOKUP(factura_tb[[#This Row],[ID]],total_leyenda[ID],total_leyenda[DESCRIPCION]), "")</f>
        <v/>
      </c>
      <c r="D26" s="28"/>
      <c r="E26" s="72" t="str">
        <f>IFERROR( _xlfn.XLOOKUP(factura_tb[[#This Row],[ID]],total_leyenda[ID],total_leyenda[precio unitario]), "")</f>
        <v/>
      </c>
      <c r="F26" s="36"/>
      <c r="G26" s="73" t="str">
        <f>IFERROR( _xlfn.XLOOKUP(factura_tb[[#This Row],[ID]],total_leyenda[ID],total_leyenda[precio unitario])*factura_tb[[#This Row],[CANTIDAD]], "")</f>
        <v/>
      </c>
      <c r="H26" s="28"/>
    </row>
    <row r="27" spans="2:13" ht="16.5" x14ac:dyDescent="0.3">
      <c r="B27" s="28"/>
      <c r="C27" s="35" t="str">
        <f>IFERROR( _xlfn.XLOOKUP(factura_tb[[#This Row],[ID]],total_leyenda[ID],total_leyenda[DESCRIPCION]), "")</f>
        <v/>
      </c>
      <c r="D27" s="28"/>
      <c r="E27" s="72" t="str">
        <f>IFERROR( _xlfn.XLOOKUP(factura_tb[[#This Row],[ID]],total_leyenda[ID],total_leyenda[precio unitario]), "")</f>
        <v/>
      </c>
      <c r="F27" s="36"/>
      <c r="G27" s="73" t="str">
        <f>IFERROR( _xlfn.XLOOKUP(factura_tb[[#This Row],[ID]],total_leyenda[ID],total_leyenda[precio unitario])*factura_tb[[#This Row],[CANTIDAD]], "")</f>
        <v/>
      </c>
      <c r="H27" s="28"/>
    </row>
    <row r="28" spans="2:13" ht="16.5" x14ac:dyDescent="0.3">
      <c r="B28" s="28"/>
      <c r="C28" s="35" t="str">
        <f>IFERROR( _xlfn.XLOOKUP(factura_tb[[#This Row],[ID]],total_leyenda[ID],total_leyenda[DESCRIPCION]), "")</f>
        <v/>
      </c>
      <c r="D28" s="28"/>
      <c r="E28" s="72" t="str">
        <f>IFERROR( _xlfn.XLOOKUP(factura_tb[[#This Row],[ID]],total_leyenda[ID],total_leyenda[precio unitario]), "")</f>
        <v/>
      </c>
      <c r="F28" s="36"/>
      <c r="G28" s="73" t="str">
        <f>IFERROR( _xlfn.XLOOKUP(factura_tb[[#This Row],[ID]],total_leyenda[ID],total_leyenda[precio unitario])*factura_tb[[#This Row],[CANTIDAD]], "")</f>
        <v/>
      </c>
      <c r="H28" s="28"/>
    </row>
    <row r="29" spans="2:13" ht="16.5" x14ac:dyDescent="0.3">
      <c r="B29" s="28"/>
      <c r="C29" s="35" t="str">
        <f>IFERROR( _xlfn.XLOOKUP(factura_tb[[#This Row],[ID]],total_leyenda[ID],total_leyenda[DESCRIPCION]), "")</f>
        <v/>
      </c>
      <c r="D29" s="28"/>
      <c r="E29" s="72" t="str">
        <f>IFERROR( _xlfn.XLOOKUP(factura_tb[[#This Row],[ID]],total_leyenda[ID],total_leyenda[precio unitario]), "")</f>
        <v/>
      </c>
      <c r="F29" s="36"/>
      <c r="G29" s="73" t="str">
        <f>IFERROR( _xlfn.XLOOKUP(factura_tb[[#This Row],[ID]],total_leyenda[ID],total_leyenda[precio unitario])*factura_tb[[#This Row],[CANTIDAD]], "")</f>
        <v/>
      </c>
      <c r="H29" s="28"/>
    </row>
    <row r="30" spans="2:13" ht="16.5" x14ac:dyDescent="0.3">
      <c r="B30" s="28"/>
      <c r="C30" s="35" t="str">
        <f>IFERROR( _xlfn.XLOOKUP(factura_tb[[#This Row],[ID]],total_leyenda[ID],total_leyenda[DESCRIPCION]), "")</f>
        <v/>
      </c>
      <c r="D30" s="28"/>
      <c r="E30" s="72" t="str">
        <f>IFERROR( _xlfn.XLOOKUP(factura_tb[[#This Row],[ID]],total_leyenda[ID],total_leyenda[precio unitario]), "")</f>
        <v/>
      </c>
      <c r="F30" s="36"/>
      <c r="G30" s="73" t="str">
        <f>IFERROR( _xlfn.XLOOKUP(factura_tb[[#This Row],[ID]],total_leyenda[ID],total_leyenda[precio unitario])*factura_tb[[#This Row],[CANTIDAD]], "")</f>
        <v/>
      </c>
      <c r="H30" s="28"/>
    </row>
    <row r="31" spans="2:13" ht="16.5" x14ac:dyDescent="0.3">
      <c r="B31" s="28"/>
      <c r="C31" s="35" t="str">
        <f>IFERROR( _xlfn.XLOOKUP(factura_tb[[#This Row],[ID]],total_leyenda[ID],total_leyenda[DESCRIPCION]), "")</f>
        <v/>
      </c>
      <c r="D31" s="28"/>
      <c r="E31" s="72" t="str">
        <f>IFERROR( _xlfn.XLOOKUP(factura_tb[[#This Row],[ID]],total_leyenda[ID],total_leyenda[precio unitario]), "")</f>
        <v/>
      </c>
      <c r="F31" s="36"/>
      <c r="G31" s="73" t="str">
        <f>IFERROR( _xlfn.XLOOKUP(factura_tb[[#This Row],[ID]],total_leyenda[ID],total_leyenda[precio unitario])*factura_tb[[#This Row],[CANTIDAD]], "")</f>
        <v/>
      </c>
      <c r="H31" s="28"/>
    </row>
    <row r="32" spans="2:13" ht="16.5" x14ac:dyDescent="0.3">
      <c r="B32" s="28"/>
      <c r="C32" s="35" t="str">
        <f>IFERROR( _xlfn.XLOOKUP(factura_tb[[#This Row],[ID]],total_leyenda[ID],total_leyenda[DESCRIPCION]), "")</f>
        <v/>
      </c>
      <c r="D32" s="28"/>
      <c r="E32" s="72" t="str">
        <f>IFERROR( _xlfn.XLOOKUP(factura_tb[[#This Row],[ID]],total_leyenda[ID],total_leyenda[precio unitario]), "")</f>
        <v/>
      </c>
      <c r="F32" s="36"/>
      <c r="G32" s="73" t="str">
        <f>IFERROR( _xlfn.XLOOKUP(factura_tb[[#This Row],[ID]],total_leyenda[ID],total_leyenda[precio unitario])*factura_tb[[#This Row],[CANTIDAD]], "")</f>
        <v/>
      </c>
      <c r="H32" s="28"/>
    </row>
    <row r="33" spans="2:8" ht="16.5" x14ac:dyDescent="0.3">
      <c r="B33" s="28"/>
      <c r="C33" s="35" t="str">
        <f>IFERROR( _xlfn.XLOOKUP(factura_tb[[#This Row],[ID]],total_leyenda[ID],total_leyenda[DESCRIPCION]), "")</f>
        <v/>
      </c>
      <c r="D33" s="28"/>
      <c r="E33" s="72" t="str">
        <f>IFERROR( _xlfn.XLOOKUP(factura_tb[[#This Row],[ID]],total_leyenda[ID],total_leyenda[precio unitario]), "")</f>
        <v/>
      </c>
      <c r="F33" s="36"/>
      <c r="G33" s="73" t="str">
        <f>IFERROR( _xlfn.XLOOKUP(factura_tb[[#This Row],[ID]],total_leyenda[ID],total_leyenda[precio unitario])*factura_tb[[#This Row],[CANTIDAD]], "")</f>
        <v/>
      </c>
      <c r="H33" s="28"/>
    </row>
    <row r="34" spans="2:8" ht="16.5" x14ac:dyDescent="0.3">
      <c r="B34" s="28"/>
      <c r="C34" s="28"/>
      <c r="D34" s="28"/>
      <c r="E34" s="28"/>
      <c r="F34" s="28"/>
      <c r="G34" s="28"/>
      <c r="H34" s="28"/>
    </row>
    <row r="35" spans="2:8" ht="16.5" x14ac:dyDescent="0.3">
      <c r="B35" s="28"/>
      <c r="C35" s="35"/>
      <c r="D35" s="28"/>
      <c r="E35" s="28"/>
      <c r="F35" s="36"/>
      <c r="G35" s="28"/>
      <c r="H35" s="28"/>
    </row>
    <row r="36" spans="2:8" ht="16.5" x14ac:dyDescent="0.3">
      <c r="H36" s="28"/>
    </row>
    <row r="37" spans="2:8" ht="16.5" x14ac:dyDescent="0.3">
      <c r="E37" s="56" t="s">
        <v>410</v>
      </c>
      <c r="F37" s="57"/>
      <c r="G37" s="74">
        <f>G41-G39</f>
        <v>340.72999999999996</v>
      </c>
      <c r="H37" s="28"/>
    </row>
    <row r="38" spans="2:8" ht="16.5" x14ac:dyDescent="0.3">
      <c r="E38" s="58"/>
      <c r="F38" s="59"/>
      <c r="G38" s="75"/>
      <c r="H38" s="28"/>
    </row>
    <row r="39" spans="2:8" ht="16.5" x14ac:dyDescent="0.3">
      <c r="E39" s="56" t="s">
        <v>411</v>
      </c>
      <c r="F39" s="57"/>
      <c r="G39" s="74">
        <f>ROUND(G41*0.19,2)</f>
        <v>79.92</v>
      </c>
      <c r="H39" s="28"/>
    </row>
    <row r="40" spans="2:8" ht="16.5" x14ac:dyDescent="0.3">
      <c r="E40" s="58"/>
      <c r="F40" s="59"/>
      <c r="G40" s="75"/>
      <c r="H40" s="28"/>
    </row>
    <row r="41" spans="2:8" ht="16.5" x14ac:dyDescent="0.3">
      <c r="E41" s="56" t="s">
        <v>412</v>
      </c>
      <c r="F41" s="57"/>
      <c r="G41" s="74">
        <f>SUM(factura_tb[TOTAL])</f>
        <v>420.65</v>
      </c>
      <c r="H41" s="28"/>
    </row>
    <row r="42" spans="2:8" ht="16.5" x14ac:dyDescent="0.3">
      <c r="E42" s="58"/>
      <c r="F42" s="59"/>
      <c r="G42" s="75"/>
      <c r="H42" s="28"/>
    </row>
    <row r="43" spans="2:8" ht="16.5" x14ac:dyDescent="0.3">
      <c r="E43" s="68"/>
      <c r="F43" s="68"/>
      <c r="G43" s="69"/>
      <c r="H43" s="28"/>
    </row>
    <row r="44" spans="2:8" ht="16.5" x14ac:dyDescent="0.3">
      <c r="E44" s="68"/>
      <c r="F44" s="68"/>
      <c r="G44" s="69"/>
      <c r="H44" s="28"/>
    </row>
    <row r="45" spans="2:8" ht="16.5" x14ac:dyDescent="0.3">
      <c r="E45" s="68"/>
      <c r="F45" s="68"/>
      <c r="G45" s="69"/>
      <c r="H45" s="28"/>
    </row>
    <row r="46" spans="2:8" ht="16.5" x14ac:dyDescent="0.3">
      <c r="E46" s="68"/>
      <c r="F46" s="68"/>
      <c r="G46" s="69"/>
      <c r="H46" s="28"/>
    </row>
    <row r="47" spans="2:8" ht="16.5" x14ac:dyDescent="0.3">
      <c r="E47" s="68"/>
      <c r="F47" s="68"/>
      <c r="G47" s="69"/>
      <c r="H47" s="28"/>
    </row>
    <row r="48" spans="2:8" ht="16.5" x14ac:dyDescent="0.3">
      <c r="E48" s="68"/>
      <c r="F48" s="68"/>
      <c r="G48" s="69"/>
      <c r="H48" s="28"/>
    </row>
    <row r="49" spans="2:8" s="38" customFormat="1" ht="16.5" x14ac:dyDescent="0.3">
      <c r="B49"/>
      <c r="C49"/>
      <c r="D49"/>
      <c r="E49" s="68"/>
      <c r="F49" s="68"/>
      <c r="G49" s="69"/>
      <c r="H49" s="67"/>
    </row>
    <row r="50" spans="2:8" ht="16.5" x14ac:dyDescent="0.3">
      <c r="B50" s="38"/>
      <c r="C50" s="38"/>
      <c r="D50" s="38"/>
      <c r="E50" s="38"/>
      <c r="F50" s="38"/>
      <c r="G50" s="38"/>
      <c r="H50" s="28"/>
    </row>
    <row r="51" spans="2:8" ht="15" customHeight="1" x14ac:dyDescent="0.25">
      <c r="B51" s="66" t="s">
        <v>413</v>
      </c>
      <c r="C51" s="70" t="s">
        <v>414</v>
      </c>
    </row>
    <row r="52" spans="2:8" ht="15.75" x14ac:dyDescent="0.25">
      <c r="B52" s="66"/>
      <c r="C52" s="71" t="s">
        <v>416</v>
      </c>
    </row>
    <row r="53" spans="2:8" x14ac:dyDescent="0.25">
      <c r="C53" s="38"/>
    </row>
    <row r="54" spans="2:8" x14ac:dyDescent="0.25">
      <c r="C54" s="38"/>
    </row>
    <row r="55" spans="2:8" x14ac:dyDescent="0.25">
      <c r="C55" s="38"/>
    </row>
    <row r="57" spans="2:8" x14ac:dyDescent="0.25">
      <c r="B57" s="60" t="s">
        <v>415</v>
      </c>
      <c r="C57" s="61"/>
      <c r="D57" s="61"/>
      <c r="E57" s="61"/>
      <c r="F57" s="61"/>
      <c r="G57" s="62"/>
    </row>
    <row r="58" spans="2:8" x14ac:dyDescent="0.25">
      <c r="B58" s="63"/>
      <c r="C58" s="64"/>
      <c r="D58" s="64"/>
      <c r="E58" s="64"/>
      <c r="F58" s="64"/>
      <c r="G58" s="65"/>
    </row>
  </sheetData>
  <mergeCells count="11">
    <mergeCell ref="B57:G58"/>
    <mergeCell ref="B51:B52"/>
    <mergeCell ref="G37:G38"/>
    <mergeCell ref="E39:F40"/>
    <mergeCell ref="G39:G40"/>
    <mergeCell ref="E41:F42"/>
    <mergeCell ref="G41:G42"/>
    <mergeCell ref="B6:C7"/>
    <mergeCell ref="E37:F38"/>
    <mergeCell ref="B3:D4"/>
    <mergeCell ref="E3:G4"/>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2" fitToHeight="0" orientation="portrait" r:id="rId1"/>
  <ignoredErrors>
    <ignoredError sqref="B15:B33" numberStoredAsText="1"/>
  </ignoredErrors>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9"/>
  <sheetViews>
    <sheetView workbookViewId="0">
      <selection activeCell="B14" sqref="B14"/>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t="s">
        <v>9</v>
      </c>
      <c r="B2" t="s">
        <v>373</v>
      </c>
      <c r="C2" t="s">
        <v>7</v>
      </c>
      <c r="D2">
        <v>44</v>
      </c>
    </row>
    <row r="3" spans="1:4" x14ac:dyDescent="0.25">
      <c r="A3" t="s">
        <v>11</v>
      </c>
      <c r="B3" t="s">
        <v>373</v>
      </c>
      <c r="C3" t="s">
        <v>10</v>
      </c>
      <c r="D3">
        <v>20</v>
      </c>
    </row>
    <row r="4" spans="1:4" x14ac:dyDescent="0.25">
      <c r="A4" t="s">
        <v>13</v>
      </c>
      <c r="B4" t="s">
        <v>373</v>
      </c>
      <c r="C4" t="s">
        <v>12</v>
      </c>
      <c r="D4">
        <v>51</v>
      </c>
    </row>
    <row r="5" spans="1:4" x14ac:dyDescent="0.25">
      <c r="A5" t="s">
        <v>15</v>
      </c>
      <c r="B5" t="s">
        <v>373</v>
      </c>
      <c r="C5" t="s">
        <v>14</v>
      </c>
      <c r="D5">
        <v>0</v>
      </c>
    </row>
    <row r="6" spans="1:4" x14ac:dyDescent="0.25">
      <c r="A6" t="s">
        <v>16</v>
      </c>
      <c r="B6" t="s">
        <v>373</v>
      </c>
      <c r="C6" t="s">
        <v>20</v>
      </c>
      <c r="D6">
        <v>32</v>
      </c>
    </row>
    <row r="7" spans="1:4" x14ac:dyDescent="0.25">
      <c r="A7" t="s">
        <v>17</v>
      </c>
      <c r="B7" t="s">
        <v>373</v>
      </c>
      <c r="C7" t="s">
        <v>21</v>
      </c>
      <c r="D7">
        <v>10</v>
      </c>
    </row>
    <row r="8" spans="1:4" x14ac:dyDescent="0.25">
      <c r="A8" t="s">
        <v>18</v>
      </c>
      <c r="B8" t="s">
        <v>373</v>
      </c>
      <c r="C8" t="s">
        <v>22</v>
      </c>
      <c r="D8">
        <v>17</v>
      </c>
    </row>
    <row r="9" spans="1:4" x14ac:dyDescent="0.25">
      <c r="A9" t="s">
        <v>19</v>
      </c>
      <c r="B9" t="s">
        <v>373</v>
      </c>
      <c r="C9" t="s">
        <v>23</v>
      </c>
      <c r="D9">
        <v>21</v>
      </c>
    </row>
    <row r="10" spans="1:4" x14ac:dyDescent="0.25">
      <c r="A10" t="s">
        <v>27</v>
      </c>
      <c r="B10" t="s">
        <v>373</v>
      </c>
      <c r="C10" t="s">
        <v>28</v>
      </c>
      <c r="D10">
        <v>9</v>
      </c>
    </row>
    <row r="11" spans="1:4" x14ac:dyDescent="0.25">
      <c r="A11" t="s">
        <v>29</v>
      </c>
      <c r="B11" t="s">
        <v>373</v>
      </c>
      <c r="C11" t="s">
        <v>36</v>
      </c>
      <c r="D11">
        <v>0</v>
      </c>
    </row>
    <row r="12" spans="1:4" x14ac:dyDescent="0.25">
      <c r="A12" t="s">
        <v>30</v>
      </c>
      <c r="B12" t="s">
        <v>373</v>
      </c>
      <c r="C12" t="s">
        <v>37</v>
      </c>
      <c r="D12">
        <v>35</v>
      </c>
    </row>
    <row r="13" spans="1:4" x14ac:dyDescent="0.25">
      <c r="A13" t="s">
        <v>31</v>
      </c>
      <c r="B13" t="s">
        <v>373</v>
      </c>
      <c r="C13" t="s">
        <v>38</v>
      </c>
      <c r="D13">
        <v>4</v>
      </c>
    </row>
    <row r="14" spans="1:4" x14ac:dyDescent="0.25">
      <c r="A14" t="s">
        <v>32</v>
      </c>
      <c r="B14" t="s">
        <v>373</v>
      </c>
      <c r="C14" t="s">
        <v>39</v>
      </c>
      <c r="D14">
        <v>21</v>
      </c>
    </row>
    <row r="15" spans="1:4" x14ac:dyDescent="0.25">
      <c r="A15" t="s">
        <v>33</v>
      </c>
      <c r="B15" t="s">
        <v>373</v>
      </c>
      <c r="C15" t="s">
        <v>40</v>
      </c>
      <c r="D15">
        <v>14</v>
      </c>
    </row>
    <row r="16" spans="1:4" x14ac:dyDescent="0.25">
      <c r="A16" t="s">
        <v>34</v>
      </c>
      <c r="B16" t="s">
        <v>373</v>
      </c>
      <c r="C16" t="s">
        <v>41</v>
      </c>
      <c r="D16">
        <v>12</v>
      </c>
    </row>
    <row r="17" spans="1:4" x14ac:dyDescent="0.25">
      <c r="A17" t="s">
        <v>35</v>
      </c>
      <c r="B17" t="s">
        <v>373</v>
      </c>
      <c r="C17" t="s">
        <v>42</v>
      </c>
      <c r="D17">
        <v>0</v>
      </c>
    </row>
    <row r="18" spans="1:4" x14ac:dyDescent="0.25">
      <c r="A18" t="s">
        <v>44</v>
      </c>
      <c r="B18" t="s">
        <v>373</v>
      </c>
      <c r="C18" t="s">
        <v>52</v>
      </c>
      <c r="D18">
        <v>15</v>
      </c>
    </row>
    <row r="19" spans="1:4" x14ac:dyDescent="0.25">
      <c r="A19" t="s">
        <v>45</v>
      </c>
      <c r="B19" t="s">
        <v>373</v>
      </c>
      <c r="C19" t="s">
        <v>53</v>
      </c>
      <c r="D19">
        <v>8</v>
      </c>
    </row>
    <row r="20" spans="1:4" x14ac:dyDescent="0.25">
      <c r="A20" t="s">
        <v>46</v>
      </c>
      <c r="B20" t="s">
        <v>373</v>
      </c>
      <c r="C20" t="s">
        <v>54</v>
      </c>
      <c r="D20">
        <v>46</v>
      </c>
    </row>
    <row r="21" spans="1:4" x14ac:dyDescent="0.25">
      <c r="A21" t="s">
        <v>47</v>
      </c>
      <c r="B21" t="s">
        <v>373</v>
      </c>
      <c r="C21" t="s">
        <v>55</v>
      </c>
      <c r="D21">
        <v>15</v>
      </c>
    </row>
    <row r="22" spans="1:4" x14ac:dyDescent="0.25">
      <c r="A22" t="s">
        <v>48</v>
      </c>
      <c r="B22" t="s">
        <v>373</v>
      </c>
      <c r="C22" t="s">
        <v>56</v>
      </c>
      <c r="D22">
        <v>14</v>
      </c>
    </row>
    <row r="23" spans="1:4" x14ac:dyDescent="0.25">
      <c r="A23" t="s">
        <v>49</v>
      </c>
      <c r="B23" t="s">
        <v>373</v>
      </c>
      <c r="C23" t="s">
        <v>57</v>
      </c>
      <c r="D23">
        <v>15</v>
      </c>
    </row>
    <row r="24" spans="1:4" x14ac:dyDescent="0.25">
      <c r="A24" t="s">
        <v>50</v>
      </c>
      <c r="B24" t="s">
        <v>373</v>
      </c>
      <c r="C24" t="s">
        <v>58</v>
      </c>
      <c r="D24">
        <v>13</v>
      </c>
    </row>
    <row r="25" spans="1:4" x14ac:dyDescent="0.25">
      <c r="A25" t="s">
        <v>62</v>
      </c>
      <c r="B25" t="s">
        <v>373</v>
      </c>
      <c r="C25" t="s">
        <v>69</v>
      </c>
      <c r="D25">
        <v>126</v>
      </c>
    </row>
    <row r="26" spans="1:4" x14ac:dyDescent="0.25">
      <c r="A26" t="s">
        <v>63</v>
      </c>
      <c r="B26" t="s">
        <v>373</v>
      </c>
      <c r="C26" t="s">
        <v>70</v>
      </c>
      <c r="D26">
        <v>26</v>
      </c>
    </row>
    <row r="27" spans="1:4" x14ac:dyDescent="0.25">
      <c r="A27" t="s">
        <v>64</v>
      </c>
      <c r="B27" t="s">
        <v>373</v>
      </c>
      <c r="C27" t="s">
        <v>71</v>
      </c>
      <c r="D27">
        <v>32</v>
      </c>
    </row>
    <row r="28" spans="1:4" x14ac:dyDescent="0.25">
      <c r="A28" t="s">
        <v>65</v>
      </c>
      <c r="B28" t="s">
        <v>373</v>
      </c>
      <c r="C28" t="s">
        <v>72</v>
      </c>
      <c r="D28">
        <v>30</v>
      </c>
    </row>
    <row r="29" spans="1:4" x14ac:dyDescent="0.25">
      <c r="A29" t="s">
        <v>66</v>
      </c>
      <c r="B29" t="s">
        <v>373</v>
      </c>
      <c r="C29" t="s">
        <v>76</v>
      </c>
      <c r="D29">
        <v>28</v>
      </c>
    </row>
    <row r="30" spans="1:4" x14ac:dyDescent="0.25">
      <c r="A30" t="s">
        <v>67</v>
      </c>
      <c r="B30" t="s">
        <v>373</v>
      </c>
      <c r="C30" t="s">
        <v>75</v>
      </c>
      <c r="D30">
        <v>19</v>
      </c>
    </row>
    <row r="31" spans="1:4" x14ac:dyDescent="0.25">
      <c r="A31" t="s">
        <v>68</v>
      </c>
      <c r="B31" t="s">
        <v>373</v>
      </c>
      <c r="C31" t="s">
        <v>79</v>
      </c>
      <c r="D31">
        <v>4</v>
      </c>
    </row>
    <row r="32" spans="1:4" x14ac:dyDescent="0.25">
      <c r="A32" t="s">
        <v>81</v>
      </c>
      <c r="B32" t="s">
        <v>373</v>
      </c>
      <c r="C32" t="s">
        <v>88</v>
      </c>
      <c r="D32">
        <v>127</v>
      </c>
    </row>
    <row r="33" spans="1:4" x14ac:dyDescent="0.25">
      <c r="A33" t="s">
        <v>82</v>
      </c>
      <c r="B33" t="s">
        <v>373</v>
      </c>
      <c r="C33" t="s">
        <v>89</v>
      </c>
      <c r="D33">
        <v>16</v>
      </c>
    </row>
    <row r="34" spans="1:4" x14ac:dyDescent="0.25">
      <c r="A34" t="s">
        <v>83</v>
      </c>
      <c r="B34" t="s">
        <v>373</v>
      </c>
      <c r="C34" t="s">
        <v>90</v>
      </c>
      <c r="D34">
        <v>39</v>
      </c>
    </row>
    <row r="35" spans="1:4" x14ac:dyDescent="0.25">
      <c r="A35" t="s">
        <v>84</v>
      </c>
      <c r="B35" t="s">
        <v>373</v>
      </c>
      <c r="C35" t="s">
        <v>91</v>
      </c>
      <c r="D35">
        <v>16</v>
      </c>
    </row>
    <row r="36" spans="1:4" x14ac:dyDescent="0.25">
      <c r="A36" t="s">
        <v>85</v>
      </c>
      <c r="B36" t="s">
        <v>373</v>
      </c>
      <c r="C36" t="s">
        <v>92</v>
      </c>
      <c r="D36">
        <v>39</v>
      </c>
    </row>
    <row r="37" spans="1:4" x14ac:dyDescent="0.25">
      <c r="A37" t="s">
        <v>86</v>
      </c>
      <c r="B37" t="s">
        <v>373</v>
      </c>
      <c r="C37" t="s">
        <v>93</v>
      </c>
      <c r="D37">
        <v>16</v>
      </c>
    </row>
    <row r="38" spans="1:4" x14ac:dyDescent="0.25">
      <c r="A38" t="s">
        <v>87</v>
      </c>
      <c r="B38" t="s">
        <v>373</v>
      </c>
      <c r="C38" t="s">
        <v>94</v>
      </c>
      <c r="D38">
        <v>37</v>
      </c>
    </row>
    <row r="39" spans="1:4" x14ac:dyDescent="0.25">
      <c r="A39" t="s">
        <v>97</v>
      </c>
      <c r="B39" t="s">
        <v>373</v>
      </c>
      <c r="C39" t="s">
        <v>74</v>
      </c>
      <c r="D39">
        <v>39</v>
      </c>
    </row>
    <row r="40" spans="1:4" x14ac:dyDescent="0.25">
      <c r="A40" t="s">
        <v>98</v>
      </c>
      <c r="B40" t="s">
        <v>373</v>
      </c>
      <c r="C40" t="s">
        <v>77</v>
      </c>
      <c r="D40">
        <v>17</v>
      </c>
    </row>
    <row r="41" spans="1:4" x14ac:dyDescent="0.25">
      <c r="A41" t="s">
        <v>99</v>
      </c>
      <c r="B41" t="s">
        <v>373</v>
      </c>
      <c r="C41" t="s">
        <v>78</v>
      </c>
      <c r="D41">
        <v>23</v>
      </c>
    </row>
    <row r="42" spans="1:4" x14ac:dyDescent="0.25">
      <c r="A42" t="s">
        <v>102</v>
      </c>
      <c r="B42" t="s">
        <v>373</v>
      </c>
      <c r="C42" t="s">
        <v>103</v>
      </c>
      <c r="D42">
        <v>24</v>
      </c>
    </row>
    <row r="43" spans="1:4" x14ac:dyDescent="0.25">
      <c r="A43" t="s">
        <v>108</v>
      </c>
      <c r="B43" t="s">
        <v>373</v>
      </c>
      <c r="C43" t="s">
        <v>104</v>
      </c>
      <c r="D43">
        <v>67</v>
      </c>
    </row>
    <row r="44" spans="1:4" x14ac:dyDescent="0.25">
      <c r="A44" t="s">
        <v>109</v>
      </c>
      <c r="B44" t="s">
        <v>373</v>
      </c>
      <c r="C44" t="s">
        <v>105</v>
      </c>
      <c r="D44">
        <v>73</v>
      </c>
    </row>
    <row r="45" spans="1:4" x14ac:dyDescent="0.25">
      <c r="A45" t="s">
        <v>110</v>
      </c>
      <c r="B45" t="s">
        <v>373</v>
      </c>
      <c r="C45" t="s">
        <v>106</v>
      </c>
      <c r="D45">
        <v>36</v>
      </c>
    </row>
    <row r="46" spans="1:4" x14ac:dyDescent="0.25">
      <c r="A46" t="s">
        <v>111</v>
      </c>
      <c r="B46" t="s">
        <v>373</v>
      </c>
      <c r="C46" t="s">
        <v>107</v>
      </c>
      <c r="D46">
        <v>20</v>
      </c>
    </row>
    <row r="47" spans="1:4" x14ac:dyDescent="0.25">
      <c r="A47" t="s">
        <v>115</v>
      </c>
      <c r="B47" t="s">
        <v>112</v>
      </c>
      <c r="C47" t="s">
        <v>116</v>
      </c>
      <c r="D47">
        <v>27</v>
      </c>
    </row>
    <row r="48" spans="1:4" x14ac:dyDescent="0.25">
      <c r="A48" t="s">
        <v>120</v>
      </c>
      <c r="B48" t="s">
        <v>112</v>
      </c>
      <c r="C48" t="s">
        <v>117</v>
      </c>
      <c r="D48">
        <v>9</v>
      </c>
    </row>
    <row r="49" spans="1:4" x14ac:dyDescent="0.25">
      <c r="A49" t="s">
        <v>121</v>
      </c>
      <c r="B49" t="s">
        <v>112</v>
      </c>
      <c r="C49" t="s">
        <v>118</v>
      </c>
      <c r="D49">
        <v>7</v>
      </c>
    </row>
    <row r="50" spans="1:4" x14ac:dyDescent="0.25">
      <c r="A50" t="s">
        <v>122</v>
      </c>
      <c r="B50" t="s">
        <v>112</v>
      </c>
      <c r="C50" t="s">
        <v>119</v>
      </c>
      <c r="D50">
        <v>2</v>
      </c>
    </row>
    <row r="51" spans="1:4" x14ac:dyDescent="0.25">
      <c r="A51" t="s">
        <v>125</v>
      </c>
      <c r="B51" t="s">
        <v>216</v>
      </c>
      <c r="C51" t="s">
        <v>123</v>
      </c>
      <c r="D51">
        <v>39</v>
      </c>
    </row>
    <row r="52" spans="1:4" x14ac:dyDescent="0.25">
      <c r="A52" t="s">
        <v>135</v>
      </c>
      <c r="B52" t="s">
        <v>128</v>
      </c>
      <c r="C52" t="s">
        <v>129</v>
      </c>
      <c r="D52">
        <v>1</v>
      </c>
    </row>
    <row r="53" spans="1:4" x14ac:dyDescent="0.25">
      <c r="A53" t="s">
        <v>136</v>
      </c>
      <c r="B53" t="s">
        <v>128</v>
      </c>
      <c r="C53" t="s">
        <v>130</v>
      </c>
      <c r="D53">
        <v>5</v>
      </c>
    </row>
    <row r="54" spans="1:4" x14ac:dyDescent="0.25">
      <c r="A54" t="s">
        <v>137</v>
      </c>
      <c r="B54" t="s">
        <v>128</v>
      </c>
      <c r="C54" t="s">
        <v>131</v>
      </c>
      <c r="D54">
        <v>30</v>
      </c>
    </row>
    <row r="55" spans="1:4" x14ac:dyDescent="0.25">
      <c r="A55" t="s">
        <v>138</v>
      </c>
      <c r="B55" t="s">
        <v>128</v>
      </c>
      <c r="C55" t="s">
        <v>132</v>
      </c>
      <c r="D55">
        <v>9</v>
      </c>
    </row>
    <row r="56" spans="1:4" x14ac:dyDescent="0.25">
      <c r="A56" t="s">
        <v>139</v>
      </c>
      <c r="B56" t="s">
        <v>133</v>
      </c>
      <c r="C56" t="s">
        <v>143</v>
      </c>
      <c r="D56">
        <v>4</v>
      </c>
    </row>
    <row r="57" spans="1:4" x14ac:dyDescent="0.25">
      <c r="A57" t="s">
        <v>140</v>
      </c>
      <c r="B57" t="s">
        <v>133</v>
      </c>
      <c r="C57" t="s">
        <v>144</v>
      </c>
      <c r="D57">
        <v>5</v>
      </c>
    </row>
    <row r="58" spans="1:4" x14ac:dyDescent="0.25">
      <c r="A58" t="s">
        <v>141</v>
      </c>
      <c r="B58" t="s">
        <v>133</v>
      </c>
      <c r="C58" t="s">
        <v>145</v>
      </c>
      <c r="D58">
        <v>13</v>
      </c>
    </row>
    <row r="59" spans="1:4" x14ac:dyDescent="0.25">
      <c r="A59" t="s">
        <v>142</v>
      </c>
      <c r="B59" t="s">
        <v>133</v>
      </c>
      <c r="C59" t="s">
        <v>146</v>
      </c>
      <c r="D59">
        <v>2</v>
      </c>
    </row>
    <row r="60" spans="1:4" x14ac:dyDescent="0.25">
      <c r="A60" t="s">
        <v>148</v>
      </c>
      <c r="B60" t="s">
        <v>133</v>
      </c>
      <c r="C60" t="s">
        <v>147</v>
      </c>
      <c r="D60">
        <v>0</v>
      </c>
    </row>
    <row r="61" spans="1:4" x14ac:dyDescent="0.25">
      <c r="A61" t="s">
        <v>152</v>
      </c>
      <c r="B61" t="s">
        <v>149</v>
      </c>
      <c r="C61" t="s">
        <v>151</v>
      </c>
      <c r="D61">
        <v>53</v>
      </c>
    </row>
    <row r="62" spans="1:4" x14ac:dyDescent="0.25">
      <c r="A62" t="s">
        <v>157</v>
      </c>
      <c r="B62" t="s">
        <v>149</v>
      </c>
      <c r="C62" t="s">
        <v>153</v>
      </c>
      <c r="D62">
        <v>4</v>
      </c>
    </row>
    <row r="63" spans="1:4" x14ac:dyDescent="0.25">
      <c r="A63" t="s">
        <v>158</v>
      </c>
      <c r="B63" t="s">
        <v>149</v>
      </c>
      <c r="C63" t="s">
        <v>154</v>
      </c>
      <c r="D63">
        <v>49</v>
      </c>
    </row>
    <row r="64" spans="1:4" x14ac:dyDescent="0.25">
      <c r="A64" t="s">
        <v>159</v>
      </c>
      <c r="B64" t="s">
        <v>149</v>
      </c>
      <c r="C64" t="s">
        <v>155</v>
      </c>
      <c r="D64">
        <v>3</v>
      </c>
    </row>
    <row r="65" spans="1:4" x14ac:dyDescent="0.25">
      <c r="A65" t="s">
        <v>160</v>
      </c>
      <c r="B65" t="s">
        <v>149</v>
      </c>
      <c r="C65" t="s">
        <v>156</v>
      </c>
      <c r="D65">
        <v>36</v>
      </c>
    </row>
    <row r="66" spans="1:4" x14ac:dyDescent="0.25">
      <c r="A66" t="s">
        <v>165</v>
      </c>
      <c r="B66" t="s">
        <v>133</v>
      </c>
      <c r="C66" t="s">
        <v>166</v>
      </c>
      <c r="D66">
        <v>67</v>
      </c>
    </row>
    <row r="67" spans="1:4" x14ac:dyDescent="0.25">
      <c r="A67" t="s">
        <v>174</v>
      </c>
      <c r="B67" t="s">
        <v>133</v>
      </c>
      <c r="C67" t="s">
        <v>167</v>
      </c>
      <c r="D67">
        <v>0</v>
      </c>
    </row>
    <row r="68" spans="1:4" x14ac:dyDescent="0.25">
      <c r="A68" t="s">
        <v>175</v>
      </c>
      <c r="B68" t="s">
        <v>133</v>
      </c>
      <c r="C68" t="s">
        <v>168</v>
      </c>
      <c r="D68">
        <v>0</v>
      </c>
    </row>
    <row r="69" spans="1:4" x14ac:dyDescent="0.25">
      <c r="A69" t="s">
        <v>176</v>
      </c>
      <c r="B69" t="s">
        <v>133</v>
      </c>
      <c r="C69" t="s">
        <v>169</v>
      </c>
      <c r="D69">
        <v>0</v>
      </c>
    </row>
    <row r="70" spans="1:4" x14ac:dyDescent="0.25">
      <c r="A70" t="s">
        <v>177</v>
      </c>
      <c r="B70" t="s">
        <v>133</v>
      </c>
      <c r="C70" t="s">
        <v>170</v>
      </c>
      <c r="D70">
        <v>61</v>
      </c>
    </row>
    <row r="71" spans="1:4" x14ac:dyDescent="0.25">
      <c r="A71" t="s">
        <v>178</v>
      </c>
      <c r="B71" t="s">
        <v>133</v>
      </c>
      <c r="C71" t="s">
        <v>171</v>
      </c>
      <c r="D71">
        <v>0</v>
      </c>
    </row>
    <row r="72" spans="1:4" x14ac:dyDescent="0.25">
      <c r="A72" t="s">
        <v>179</v>
      </c>
      <c r="B72" t="s">
        <v>133</v>
      </c>
      <c r="C72" t="s">
        <v>172</v>
      </c>
      <c r="D72">
        <v>23</v>
      </c>
    </row>
    <row r="73" spans="1:4" x14ac:dyDescent="0.25">
      <c r="A73" t="s">
        <v>180</v>
      </c>
      <c r="B73" t="s">
        <v>133</v>
      </c>
      <c r="C73" t="s">
        <v>173</v>
      </c>
      <c r="D73">
        <v>32</v>
      </c>
    </row>
    <row r="74" spans="1:4" x14ac:dyDescent="0.25">
      <c r="A74" t="s">
        <v>185</v>
      </c>
      <c r="B74" t="s">
        <v>184</v>
      </c>
      <c r="C74" t="s">
        <v>181</v>
      </c>
      <c r="D74">
        <v>28</v>
      </c>
    </row>
    <row r="75" spans="1:4" x14ac:dyDescent="0.25">
      <c r="A75" t="s">
        <v>221</v>
      </c>
      <c r="B75" t="s">
        <v>184</v>
      </c>
      <c r="C75" t="s">
        <v>186</v>
      </c>
      <c r="D75">
        <v>0</v>
      </c>
    </row>
    <row r="76" spans="1:4" x14ac:dyDescent="0.25">
      <c r="A76" t="s">
        <v>222</v>
      </c>
      <c r="B76" t="s">
        <v>184</v>
      </c>
      <c r="C76" t="s">
        <v>187</v>
      </c>
      <c r="D76">
        <v>13</v>
      </c>
    </row>
    <row r="77" spans="1:4" x14ac:dyDescent="0.25">
      <c r="A77" t="s">
        <v>223</v>
      </c>
      <c r="B77" t="s">
        <v>184</v>
      </c>
      <c r="C77" t="s">
        <v>188</v>
      </c>
      <c r="D77">
        <v>39</v>
      </c>
    </row>
    <row r="78" spans="1:4" x14ac:dyDescent="0.25">
      <c r="A78" t="s">
        <v>191</v>
      </c>
      <c r="B78" t="s">
        <v>217</v>
      </c>
      <c r="C78" t="s">
        <v>192</v>
      </c>
      <c r="D78">
        <v>69</v>
      </c>
    </row>
    <row r="79" spans="1:4" x14ac:dyDescent="0.25">
      <c r="A79" t="s">
        <v>204</v>
      </c>
      <c r="B79" t="s">
        <v>217</v>
      </c>
      <c r="C79" t="s">
        <v>193</v>
      </c>
      <c r="D79">
        <v>67</v>
      </c>
    </row>
    <row r="80" spans="1:4" x14ac:dyDescent="0.25">
      <c r="A80" t="s">
        <v>205</v>
      </c>
      <c r="B80" t="s">
        <v>217</v>
      </c>
      <c r="C80" t="s">
        <v>194</v>
      </c>
      <c r="D80">
        <v>4</v>
      </c>
    </row>
    <row r="81" spans="1:4" x14ac:dyDescent="0.25">
      <c r="A81" t="s">
        <v>206</v>
      </c>
      <c r="B81" t="s">
        <v>217</v>
      </c>
      <c r="C81" t="s">
        <v>195</v>
      </c>
      <c r="D81">
        <v>10</v>
      </c>
    </row>
    <row r="82" spans="1:4" x14ac:dyDescent="0.25">
      <c r="A82" t="s">
        <v>207</v>
      </c>
      <c r="B82" t="s">
        <v>217</v>
      </c>
      <c r="C82" t="s">
        <v>196</v>
      </c>
      <c r="D82">
        <v>15</v>
      </c>
    </row>
    <row r="83" spans="1:4" x14ac:dyDescent="0.25">
      <c r="A83" t="s">
        <v>208</v>
      </c>
      <c r="B83" t="s">
        <v>217</v>
      </c>
      <c r="C83" t="s">
        <v>197</v>
      </c>
      <c r="D83">
        <v>5</v>
      </c>
    </row>
    <row r="84" spans="1:4" x14ac:dyDescent="0.25">
      <c r="A84" t="s">
        <v>209</v>
      </c>
      <c r="B84" t="s">
        <v>217</v>
      </c>
      <c r="C84" t="s">
        <v>198</v>
      </c>
      <c r="D84">
        <v>4</v>
      </c>
    </row>
    <row r="85" spans="1:4" x14ac:dyDescent="0.25">
      <c r="A85" t="s">
        <v>210</v>
      </c>
      <c r="B85" t="s">
        <v>217</v>
      </c>
      <c r="C85" t="s">
        <v>199</v>
      </c>
      <c r="D85">
        <v>0</v>
      </c>
    </row>
    <row r="86" spans="1:4" x14ac:dyDescent="0.25">
      <c r="A86" t="s">
        <v>211</v>
      </c>
      <c r="B86" t="s">
        <v>217</v>
      </c>
      <c r="C86" t="s">
        <v>200</v>
      </c>
      <c r="D86">
        <v>10</v>
      </c>
    </row>
    <row r="87" spans="1:4" x14ac:dyDescent="0.25">
      <c r="A87" t="s">
        <v>212</v>
      </c>
      <c r="B87" t="s">
        <v>217</v>
      </c>
      <c r="C87" t="s">
        <v>201</v>
      </c>
      <c r="D87">
        <v>0</v>
      </c>
    </row>
    <row r="88" spans="1:4" x14ac:dyDescent="0.25">
      <c r="A88" t="s">
        <v>213</v>
      </c>
      <c r="B88" t="s">
        <v>217</v>
      </c>
      <c r="C88" t="s">
        <v>202</v>
      </c>
      <c r="D88">
        <v>0</v>
      </c>
    </row>
    <row r="89" spans="1:4" x14ac:dyDescent="0.25">
      <c r="A89" t="s">
        <v>214</v>
      </c>
      <c r="B89" t="s">
        <v>217</v>
      </c>
      <c r="C89" t="s">
        <v>203</v>
      </c>
      <c r="D89">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N10"/>
  <sheetViews>
    <sheetView zoomScaleNormal="100" workbookViewId="0">
      <selection activeCell="I15" sqref="I15"/>
    </sheetView>
  </sheetViews>
  <sheetFormatPr defaultRowHeight="15" x14ac:dyDescent="0.25"/>
  <cols>
    <col min="1" max="1" width="14.42578125" bestFit="1" customWidth="1"/>
    <col min="2" max="2" width="10.7109375" bestFit="1" customWidth="1"/>
    <col min="3" max="3" width="8.42578125" bestFit="1" customWidth="1"/>
    <col min="4" max="4" width="13.28515625" bestFit="1" customWidth="1"/>
    <col min="5" max="5" width="16.28515625" bestFit="1" customWidth="1"/>
    <col min="6" max="6" width="32" bestFit="1" customWidth="1"/>
    <col min="7" max="7" width="20.28515625" customWidth="1"/>
    <col min="8" max="9" width="31.85546875" customWidth="1"/>
    <col min="11" max="11" width="19.28515625" bestFit="1" customWidth="1"/>
    <col min="12" max="12" width="32.7109375" customWidth="1"/>
    <col min="14" max="14" width="19.28515625" style="17" bestFit="1" customWidth="1"/>
  </cols>
  <sheetData>
    <row r="1" spans="1:14" x14ac:dyDescent="0.25">
      <c r="A1" t="s">
        <v>392</v>
      </c>
      <c r="B1" s="8" t="s">
        <v>393</v>
      </c>
      <c r="C1" s="9" t="s">
        <v>394</v>
      </c>
      <c r="D1" s="30" t="s">
        <v>395</v>
      </c>
      <c r="E1" t="s">
        <v>396</v>
      </c>
      <c r="F1" s="7" t="s">
        <v>1</v>
      </c>
      <c r="G1" t="s">
        <v>2</v>
      </c>
      <c r="H1" t="s">
        <v>3</v>
      </c>
      <c r="I1" t="s">
        <v>391</v>
      </c>
      <c r="J1" t="s">
        <v>224</v>
      </c>
      <c r="K1" s="17" t="s">
        <v>226</v>
      </c>
      <c r="L1" s="26" t="s">
        <v>372</v>
      </c>
      <c r="N1">
        <f ca="1">OFFSET(A1,COUNTA(salidas_hist[FACTURA_ID]),0,1,1) + 1</f>
        <v>10</v>
      </c>
    </row>
    <row r="2" spans="1:14" x14ac:dyDescent="0.25">
      <c r="A2" s="1" t="s">
        <v>384</v>
      </c>
      <c r="B2" s="3">
        <v>45219</v>
      </c>
      <c r="C2" s="5">
        <v>0.33333333333333331</v>
      </c>
      <c r="D2" s="5"/>
      <c r="E2" s="1" t="s">
        <v>9</v>
      </c>
      <c r="F2" t="s">
        <v>7</v>
      </c>
      <c r="G2">
        <v>2</v>
      </c>
      <c r="H2" t="s">
        <v>225</v>
      </c>
      <c r="J2" t="s">
        <v>228</v>
      </c>
      <c r="K2" s="20">
        <v>45317.693055555559</v>
      </c>
      <c r="L2" t="str">
        <f>_xlfn.XLOOKUP(salidas_hist[[#This Row],[PRODUCTO_ID]],total_leyenda[ID],total_leyenda[categoria])</f>
        <v>Parafinado</v>
      </c>
      <c r="N2"/>
    </row>
    <row r="3" spans="1:14" x14ac:dyDescent="0.25">
      <c r="A3" s="1" t="s">
        <v>385</v>
      </c>
      <c r="B3" s="3">
        <v>45224</v>
      </c>
      <c r="C3" s="5">
        <v>0.33333333333333331</v>
      </c>
      <c r="D3" s="5"/>
      <c r="E3" s="1" t="s">
        <v>9</v>
      </c>
      <c r="F3" t="s">
        <v>7</v>
      </c>
      <c r="G3">
        <v>1</v>
      </c>
      <c r="H3" t="s">
        <v>225</v>
      </c>
      <c r="J3" t="s">
        <v>228</v>
      </c>
      <c r="K3" s="20">
        <v>45317.693055555559</v>
      </c>
      <c r="L3" t="str">
        <f>_xlfn.XLOOKUP(salidas_hist[[#This Row],[PRODUCTO_ID]],total_leyenda[ID],total_leyenda[categoria])</f>
        <v>Parafinado</v>
      </c>
      <c r="N3"/>
    </row>
    <row r="4" spans="1:14" x14ac:dyDescent="0.25">
      <c r="A4" s="1" t="s">
        <v>386</v>
      </c>
      <c r="B4" s="3">
        <v>45224</v>
      </c>
      <c r="C4" s="5">
        <v>0.33333333333333331</v>
      </c>
      <c r="D4" s="5"/>
      <c r="E4" s="1" t="s">
        <v>9</v>
      </c>
      <c r="F4" t="s">
        <v>7</v>
      </c>
      <c r="G4">
        <v>1</v>
      </c>
      <c r="H4" t="s">
        <v>225</v>
      </c>
      <c r="J4" t="s">
        <v>228</v>
      </c>
      <c r="K4" s="20">
        <v>45317.693055555559</v>
      </c>
      <c r="L4" t="str">
        <f>_xlfn.XLOOKUP(salidas_hist[[#This Row],[PRODUCTO_ID]],total_leyenda[ID],total_leyenda[categoria])</f>
        <v>Parafinado</v>
      </c>
      <c r="N4"/>
    </row>
    <row r="5" spans="1:14" x14ac:dyDescent="0.25">
      <c r="A5" s="1" t="s">
        <v>387</v>
      </c>
      <c r="B5" s="3">
        <v>45255</v>
      </c>
      <c r="C5" s="5">
        <v>0.33333333333333331</v>
      </c>
      <c r="D5" s="5"/>
      <c r="E5" s="1" t="s">
        <v>9</v>
      </c>
      <c r="F5" t="s">
        <v>7</v>
      </c>
      <c r="G5">
        <v>7</v>
      </c>
      <c r="H5" t="s">
        <v>225</v>
      </c>
      <c r="J5" t="s">
        <v>228</v>
      </c>
      <c r="K5" s="20">
        <v>45317.693055555559</v>
      </c>
      <c r="L5" t="str">
        <f>_xlfn.XLOOKUP(salidas_hist[[#This Row],[PRODUCTO_ID]],total_leyenda[ID],total_leyenda[categoria])</f>
        <v>Parafinado</v>
      </c>
      <c r="N5"/>
    </row>
    <row r="6" spans="1:14" x14ac:dyDescent="0.25">
      <c r="A6" s="1" t="s">
        <v>388</v>
      </c>
      <c r="B6" s="3">
        <v>45302</v>
      </c>
      <c r="C6" s="5">
        <v>0.33333333333333331</v>
      </c>
      <c r="D6" s="5"/>
      <c r="E6" s="1" t="s">
        <v>9</v>
      </c>
      <c r="F6" t="s">
        <v>7</v>
      </c>
      <c r="G6">
        <v>44</v>
      </c>
      <c r="H6" t="s">
        <v>225</v>
      </c>
      <c r="J6" t="s">
        <v>228</v>
      </c>
      <c r="K6" s="20">
        <v>45317.693055555559</v>
      </c>
      <c r="L6" t="str">
        <f>_xlfn.XLOOKUP(salidas_hist[[#This Row],[PRODUCTO_ID]],total_leyenda[ID],total_leyenda[categoria])</f>
        <v>Parafinado</v>
      </c>
      <c r="N6"/>
    </row>
    <row r="7" spans="1:14" x14ac:dyDescent="0.25">
      <c r="A7" s="1" t="s">
        <v>389</v>
      </c>
      <c r="B7" s="3">
        <v>45255</v>
      </c>
      <c r="C7" s="5">
        <v>0.33333333333333331</v>
      </c>
      <c r="D7" s="5"/>
      <c r="E7" s="1" t="s">
        <v>11</v>
      </c>
      <c r="F7" t="s">
        <v>7</v>
      </c>
      <c r="G7">
        <v>31</v>
      </c>
      <c r="H7" t="s">
        <v>225</v>
      </c>
      <c r="J7" t="s">
        <v>228</v>
      </c>
      <c r="K7" s="20">
        <v>45317.698611111111</v>
      </c>
      <c r="L7" t="str">
        <f>_xlfn.XLOOKUP(salidas_hist[[#This Row],[PRODUCTO_ID]],total_leyenda[ID],total_leyenda[categoria])</f>
        <v>Parafinado</v>
      </c>
      <c r="N7"/>
    </row>
    <row r="8" spans="1:14" x14ac:dyDescent="0.25">
      <c r="A8" s="1" t="s">
        <v>390</v>
      </c>
      <c r="B8" s="3">
        <v>45302</v>
      </c>
      <c r="C8" s="5">
        <v>0.33333333333333331</v>
      </c>
      <c r="D8" s="5"/>
      <c r="E8" s="1" t="s">
        <v>11</v>
      </c>
      <c r="F8" t="s">
        <v>10</v>
      </c>
      <c r="G8">
        <v>9</v>
      </c>
      <c r="H8" t="s">
        <v>225</v>
      </c>
      <c r="J8" t="s">
        <v>228</v>
      </c>
      <c r="K8" s="20">
        <v>45317.698611111111</v>
      </c>
      <c r="L8" t="str">
        <f>_xlfn.XLOOKUP(salidas_hist[[#This Row],[PRODUCTO_ID]],total_leyenda[ID],total_leyenda[categoria])</f>
        <v>Parafinado</v>
      </c>
      <c r="N8"/>
    </row>
    <row r="9" spans="1:14" x14ac:dyDescent="0.25">
      <c r="A9" s="1">
        <v>8</v>
      </c>
      <c r="B9" s="3">
        <v>45329</v>
      </c>
      <c r="C9" s="5">
        <v>0.50319444444444439</v>
      </c>
      <c r="D9" s="5" t="s">
        <v>397</v>
      </c>
      <c r="E9" s="1" t="s">
        <v>18</v>
      </c>
      <c r="F9" s="1" t="s">
        <v>22</v>
      </c>
      <c r="G9">
        <v>5</v>
      </c>
      <c r="I9">
        <v>420.65</v>
      </c>
      <c r="J9" t="s">
        <v>228</v>
      </c>
      <c r="K9" s="20">
        <v>45329.503194444442</v>
      </c>
      <c r="L9" s="34" t="str">
        <f>_xlfn.XLOOKUP(salidas_hist[[#This Row],[PRODUCTO_ID]],total_leyenda[ID],total_leyenda[categoria])</f>
        <v>Parafinado</v>
      </c>
    </row>
    <row r="10" spans="1:14" x14ac:dyDescent="0.25">
      <c r="A10" s="1">
        <v>9</v>
      </c>
      <c r="B10" s="3">
        <v>45329</v>
      </c>
      <c r="C10" s="5">
        <v>0.50603009259259257</v>
      </c>
      <c r="D10" s="5" t="s">
        <v>397</v>
      </c>
      <c r="E10" s="1" t="s">
        <v>18</v>
      </c>
      <c r="F10" s="1" t="s">
        <v>22</v>
      </c>
      <c r="G10">
        <v>5</v>
      </c>
      <c r="I10">
        <v>420.65</v>
      </c>
      <c r="J10" t="s">
        <v>228</v>
      </c>
      <c r="K10" s="20">
        <v>45329.506030092591</v>
      </c>
      <c r="L10" s="34" t="str">
        <f>_xlfn.XLOOKUP(salidas_hist[[#This Row],[PRODUCTO_ID]],total_leyenda[ID],total_leyenda[categoria])</f>
        <v>Parafinado</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96"/>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6" width="10.5703125" bestFit="1" customWidth="1"/>
    <col min="7" max="7" width="11.285156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t="s">
        <v>227</v>
      </c>
      <c r="C2" t="s">
        <v>148</v>
      </c>
      <c r="D2">
        <v>0</v>
      </c>
      <c r="E2" s="4">
        <v>45218</v>
      </c>
      <c r="F2" s="15">
        <v>0.33333333333333331</v>
      </c>
      <c r="G2" s="15">
        <v>0.33333333333333331</v>
      </c>
      <c r="H2" t="s">
        <v>147</v>
      </c>
      <c r="I2" t="s">
        <v>133</v>
      </c>
      <c r="J2" t="s">
        <v>219</v>
      </c>
      <c r="K2" s="21">
        <v>45317.6875</v>
      </c>
      <c r="L2">
        <f>SUMIF(C$2:C2, historico_movimientos[[#This Row],[id_producto]],D$2:D2)</f>
        <v>0</v>
      </c>
    </row>
    <row r="3" spans="1:12" x14ac:dyDescent="0.25">
      <c r="A3" t="s">
        <v>240</v>
      </c>
      <c r="B3" t="s">
        <v>227</v>
      </c>
      <c r="C3" t="s">
        <v>165</v>
      </c>
      <c r="D3">
        <v>67</v>
      </c>
      <c r="E3" s="4">
        <v>45218</v>
      </c>
      <c r="F3" s="15">
        <v>0.33333333333333331</v>
      </c>
      <c r="G3" s="15">
        <v>0.33333333333333331</v>
      </c>
      <c r="H3" t="s">
        <v>166</v>
      </c>
      <c r="I3" t="s">
        <v>133</v>
      </c>
      <c r="J3" t="s">
        <v>219</v>
      </c>
      <c r="K3" s="21">
        <v>45317.6875</v>
      </c>
      <c r="L3">
        <f>SUMIF(C$2:C3, historico_movimientos[[#This Row],[id_producto]],D$2:D3)</f>
        <v>67</v>
      </c>
    </row>
    <row r="4" spans="1:12" x14ac:dyDescent="0.25">
      <c r="A4" t="s">
        <v>241</v>
      </c>
      <c r="B4" t="s">
        <v>227</v>
      </c>
      <c r="C4" t="s">
        <v>142</v>
      </c>
      <c r="D4">
        <v>2</v>
      </c>
      <c r="E4" s="4">
        <v>45218</v>
      </c>
      <c r="F4" s="15">
        <v>0.33333333333333331</v>
      </c>
      <c r="G4" s="15">
        <v>0.33333333333333331</v>
      </c>
      <c r="H4" t="s">
        <v>146</v>
      </c>
      <c r="I4" t="s">
        <v>133</v>
      </c>
      <c r="J4" t="s">
        <v>219</v>
      </c>
      <c r="K4" s="21">
        <v>45317.6875</v>
      </c>
      <c r="L4">
        <f>SUMIF(C$2:C4, historico_movimientos[[#This Row],[id_producto]],D$2:D4)</f>
        <v>2</v>
      </c>
    </row>
    <row r="5" spans="1:12" x14ac:dyDescent="0.25">
      <c r="A5" t="s">
        <v>242</v>
      </c>
      <c r="B5" t="s">
        <v>227</v>
      </c>
      <c r="C5" t="s">
        <v>140</v>
      </c>
      <c r="D5">
        <v>5</v>
      </c>
      <c r="E5" s="4">
        <v>45218</v>
      </c>
      <c r="F5" s="15">
        <v>0.33333333333333331</v>
      </c>
      <c r="G5" s="15">
        <v>0.33333333333333331</v>
      </c>
      <c r="H5" t="s">
        <v>144</v>
      </c>
      <c r="I5" t="s">
        <v>133</v>
      </c>
      <c r="J5" t="s">
        <v>219</v>
      </c>
      <c r="K5" s="21">
        <v>45317.6875</v>
      </c>
      <c r="L5">
        <f>SUMIF(C$2:C5, historico_movimientos[[#This Row],[id_producto]],D$2:D5)</f>
        <v>5</v>
      </c>
    </row>
    <row r="6" spans="1:12" x14ac:dyDescent="0.25">
      <c r="A6" t="s">
        <v>243</v>
      </c>
      <c r="B6" t="s">
        <v>227</v>
      </c>
      <c r="C6" t="s">
        <v>141</v>
      </c>
      <c r="D6">
        <v>13</v>
      </c>
      <c r="E6" s="4">
        <v>45218</v>
      </c>
      <c r="F6" s="15">
        <v>0.33333333333333331</v>
      </c>
      <c r="G6" s="15">
        <v>0.33333333333333331</v>
      </c>
      <c r="H6" t="s">
        <v>145</v>
      </c>
      <c r="I6" t="s">
        <v>133</v>
      </c>
      <c r="J6" t="s">
        <v>219</v>
      </c>
      <c r="K6" s="21">
        <v>45317.6875</v>
      </c>
      <c r="L6">
        <f>SUMIF(C$2:C6, historico_movimientos[[#This Row],[id_producto]],D$2:D6)</f>
        <v>13</v>
      </c>
    </row>
    <row r="7" spans="1:12" x14ac:dyDescent="0.25">
      <c r="A7" t="s">
        <v>244</v>
      </c>
      <c r="B7" t="s">
        <v>227</v>
      </c>
      <c r="C7" t="s">
        <v>174</v>
      </c>
      <c r="D7">
        <v>0</v>
      </c>
      <c r="E7" s="4">
        <v>45218</v>
      </c>
      <c r="F7" s="15">
        <v>0.33333333333333331</v>
      </c>
      <c r="G7" s="15">
        <v>0.33333333333333331</v>
      </c>
      <c r="H7" t="s">
        <v>167</v>
      </c>
      <c r="I7" t="s">
        <v>133</v>
      </c>
      <c r="J7" t="s">
        <v>219</v>
      </c>
      <c r="K7" s="21">
        <v>45317.6875</v>
      </c>
      <c r="L7">
        <f>SUMIF(C$2:C7, historico_movimientos[[#This Row],[id_producto]],D$2:D7)</f>
        <v>0</v>
      </c>
    </row>
    <row r="8" spans="1:12" x14ac:dyDescent="0.25">
      <c r="A8" t="s">
        <v>245</v>
      </c>
      <c r="B8" t="s">
        <v>227</v>
      </c>
      <c r="C8" t="s">
        <v>178</v>
      </c>
      <c r="D8">
        <v>0</v>
      </c>
      <c r="E8" s="4">
        <v>45218</v>
      </c>
      <c r="F8" s="15">
        <v>0.33333333333333331</v>
      </c>
      <c r="G8" s="15">
        <v>0.33333333333333331</v>
      </c>
      <c r="H8" t="s">
        <v>171</v>
      </c>
      <c r="I8" t="s">
        <v>133</v>
      </c>
      <c r="J8" t="s">
        <v>219</v>
      </c>
      <c r="K8" s="21">
        <v>45317.6875</v>
      </c>
      <c r="L8">
        <f>SUMIF(C$2:C8, historico_movimientos[[#This Row],[id_producto]],D$2:D8)</f>
        <v>0</v>
      </c>
    </row>
    <row r="9" spans="1:12" x14ac:dyDescent="0.25">
      <c r="A9" t="s">
        <v>246</v>
      </c>
      <c r="B9" t="s">
        <v>227</v>
      </c>
      <c r="C9" t="s">
        <v>179</v>
      </c>
      <c r="D9">
        <v>23</v>
      </c>
      <c r="E9" s="4">
        <v>45218</v>
      </c>
      <c r="F9" s="15">
        <v>0.33333333333333331</v>
      </c>
      <c r="G9" s="15">
        <v>0.33333333333333331</v>
      </c>
      <c r="H9" t="s">
        <v>172</v>
      </c>
      <c r="I9" t="s">
        <v>133</v>
      </c>
      <c r="J9" t="s">
        <v>219</v>
      </c>
      <c r="K9" s="21">
        <v>45317.6875</v>
      </c>
      <c r="L9">
        <f>SUMIF(C$2:C9, historico_movimientos[[#This Row],[id_producto]],D$2:D9)</f>
        <v>23</v>
      </c>
    </row>
    <row r="10" spans="1:12" x14ac:dyDescent="0.25">
      <c r="A10" t="s">
        <v>247</v>
      </c>
      <c r="B10" t="s">
        <v>227</v>
      </c>
      <c r="C10" t="s">
        <v>177</v>
      </c>
      <c r="D10">
        <v>61</v>
      </c>
      <c r="E10" s="4">
        <v>45218</v>
      </c>
      <c r="F10" s="15">
        <v>0.33333333333333331</v>
      </c>
      <c r="G10" s="15">
        <v>0.33333333333333331</v>
      </c>
      <c r="H10" t="s">
        <v>170</v>
      </c>
      <c r="I10" t="s">
        <v>133</v>
      </c>
      <c r="J10" t="s">
        <v>219</v>
      </c>
      <c r="K10" s="21">
        <v>45317.6875</v>
      </c>
      <c r="L10">
        <f>SUMIF(C$2:C10, historico_movimientos[[#This Row],[id_producto]],D$2:D10)</f>
        <v>61</v>
      </c>
    </row>
    <row r="11" spans="1:12" x14ac:dyDescent="0.25">
      <c r="A11" t="s">
        <v>248</v>
      </c>
      <c r="B11" t="s">
        <v>227</v>
      </c>
      <c r="C11" t="s">
        <v>175</v>
      </c>
      <c r="D11">
        <v>0</v>
      </c>
      <c r="E11" s="4">
        <v>45218</v>
      </c>
      <c r="F11" s="15">
        <v>0.33333333333333331</v>
      </c>
      <c r="G11" s="15">
        <v>0.33333333333333331</v>
      </c>
      <c r="H11" t="s">
        <v>168</v>
      </c>
      <c r="I11" t="s">
        <v>133</v>
      </c>
      <c r="J11" t="s">
        <v>219</v>
      </c>
      <c r="K11" s="21">
        <v>45317.6875</v>
      </c>
      <c r="L11">
        <f>SUMIF(C$2:C11, historico_movimientos[[#This Row],[id_producto]],D$2:D11)</f>
        <v>0</v>
      </c>
    </row>
    <row r="12" spans="1:12" x14ac:dyDescent="0.25">
      <c r="A12" t="s">
        <v>249</v>
      </c>
      <c r="B12" t="s">
        <v>227</v>
      </c>
      <c r="C12" t="s">
        <v>176</v>
      </c>
      <c r="D12">
        <v>0</v>
      </c>
      <c r="E12" s="4">
        <v>45218</v>
      </c>
      <c r="F12" s="15">
        <v>0.33333333333333331</v>
      </c>
      <c r="G12" s="15">
        <v>0.33333333333333331</v>
      </c>
      <c r="H12" t="s">
        <v>169</v>
      </c>
      <c r="I12" t="s">
        <v>133</v>
      </c>
      <c r="J12" t="s">
        <v>219</v>
      </c>
      <c r="K12" s="21">
        <v>45317.6875</v>
      </c>
      <c r="L12">
        <f>SUMIF(C$2:C12, historico_movimientos[[#This Row],[id_producto]],D$2:D12)</f>
        <v>0</v>
      </c>
    </row>
    <row r="13" spans="1:12" x14ac:dyDescent="0.25">
      <c r="A13" t="s">
        <v>250</v>
      </c>
      <c r="B13" t="s">
        <v>227</v>
      </c>
      <c r="C13" t="s">
        <v>121</v>
      </c>
      <c r="D13">
        <v>7</v>
      </c>
      <c r="E13" s="4">
        <v>45218</v>
      </c>
      <c r="F13" s="15">
        <v>0.33333333333333331</v>
      </c>
      <c r="G13" s="15">
        <v>0.33333333333333331</v>
      </c>
      <c r="H13" t="s">
        <v>118</v>
      </c>
      <c r="I13" t="s">
        <v>112</v>
      </c>
      <c r="J13" t="s">
        <v>219</v>
      </c>
      <c r="K13" s="21">
        <v>45317.6875</v>
      </c>
      <c r="L13">
        <f>SUMIF(C$2:C13, historico_movimientos[[#This Row],[id_producto]],D$2:D13)</f>
        <v>7</v>
      </c>
    </row>
    <row r="14" spans="1:12" x14ac:dyDescent="0.25">
      <c r="A14" t="s">
        <v>251</v>
      </c>
      <c r="B14" t="s">
        <v>227</v>
      </c>
      <c r="C14" t="s">
        <v>122</v>
      </c>
      <c r="D14">
        <v>2</v>
      </c>
      <c r="E14" s="4">
        <v>45218</v>
      </c>
      <c r="F14" s="15">
        <v>0.33333333333333331</v>
      </c>
      <c r="G14" s="15">
        <v>0.33333333333333331</v>
      </c>
      <c r="H14" t="s">
        <v>119</v>
      </c>
      <c r="I14" t="s">
        <v>112</v>
      </c>
      <c r="J14" t="s">
        <v>219</v>
      </c>
      <c r="K14" s="21">
        <v>45317.6875</v>
      </c>
      <c r="L14">
        <f>SUMIF(C$2:C14, historico_movimientos[[#This Row],[id_producto]],D$2:D14)</f>
        <v>2</v>
      </c>
    </row>
    <row r="15" spans="1:12" x14ac:dyDescent="0.25">
      <c r="A15" t="s">
        <v>252</v>
      </c>
      <c r="B15" t="s">
        <v>227</v>
      </c>
      <c r="C15" t="s">
        <v>120</v>
      </c>
      <c r="D15">
        <v>9</v>
      </c>
      <c r="E15" s="4">
        <v>45218</v>
      </c>
      <c r="F15" s="15">
        <v>0.33333333333333331</v>
      </c>
      <c r="G15" s="15">
        <v>0.33333333333333331</v>
      </c>
      <c r="H15" t="s">
        <v>117</v>
      </c>
      <c r="I15" t="s">
        <v>112</v>
      </c>
      <c r="J15" t="s">
        <v>219</v>
      </c>
      <c r="K15" s="21">
        <v>45317.6875</v>
      </c>
      <c r="L15">
        <f>SUMIF(C$2:C15, historico_movimientos[[#This Row],[id_producto]],D$2:D15)</f>
        <v>9</v>
      </c>
    </row>
    <row r="16" spans="1:12" x14ac:dyDescent="0.25">
      <c r="A16" t="s">
        <v>253</v>
      </c>
      <c r="B16" t="s">
        <v>227</v>
      </c>
      <c r="C16" t="s">
        <v>111</v>
      </c>
      <c r="D16">
        <v>20</v>
      </c>
      <c r="E16" s="4">
        <v>45218</v>
      </c>
      <c r="F16" s="15">
        <v>0.33333333333333331</v>
      </c>
      <c r="G16" s="15">
        <v>0.33333333333333331</v>
      </c>
      <c r="H16" t="s">
        <v>107</v>
      </c>
      <c r="I16" t="s">
        <v>373</v>
      </c>
      <c r="J16" t="s">
        <v>219</v>
      </c>
      <c r="K16" s="21">
        <v>45317.6875</v>
      </c>
      <c r="L16">
        <f>SUMIF(C$2:C16, historico_movimientos[[#This Row],[id_producto]],D$2:D16)</f>
        <v>20</v>
      </c>
    </row>
    <row r="17" spans="1:12" x14ac:dyDescent="0.25">
      <c r="A17" t="s">
        <v>254</v>
      </c>
      <c r="B17" t="s">
        <v>227</v>
      </c>
      <c r="C17" t="s">
        <v>115</v>
      </c>
      <c r="D17">
        <v>27</v>
      </c>
      <c r="E17" s="4">
        <v>45218</v>
      </c>
      <c r="F17" s="15">
        <v>0.33333333333333331</v>
      </c>
      <c r="G17" s="15">
        <v>0.33333333333333331</v>
      </c>
      <c r="H17" t="s">
        <v>116</v>
      </c>
      <c r="I17" t="s">
        <v>112</v>
      </c>
      <c r="J17" t="s">
        <v>219</v>
      </c>
      <c r="K17" s="21">
        <v>45317.6875</v>
      </c>
      <c r="L17">
        <f>SUMIF(C$2:C17, historico_movimientos[[#This Row],[id_producto]],D$2:D17)</f>
        <v>27</v>
      </c>
    </row>
    <row r="18" spans="1:12" x14ac:dyDescent="0.25">
      <c r="A18" t="s">
        <v>255</v>
      </c>
      <c r="B18" t="s">
        <v>227</v>
      </c>
      <c r="C18" t="s">
        <v>125</v>
      </c>
      <c r="D18">
        <v>39</v>
      </c>
      <c r="E18" s="4">
        <v>45218</v>
      </c>
      <c r="F18" s="15">
        <v>0.33333333333333331</v>
      </c>
      <c r="G18" s="15">
        <v>0.33333333333333331</v>
      </c>
      <c r="H18" t="s">
        <v>123</v>
      </c>
      <c r="I18" t="s">
        <v>216</v>
      </c>
      <c r="J18" t="s">
        <v>219</v>
      </c>
      <c r="K18" s="21">
        <v>45317.6875</v>
      </c>
      <c r="L18">
        <f>SUMIF(C$2:C18, historico_movimientos[[#This Row],[id_producto]],D$2:D18)</f>
        <v>39</v>
      </c>
    </row>
    <row r="19" spans="1:12" x14ac:dyDescent="0.25">
      <c r="A19" t="s">
        <v>256</v>
      </c>
      <c r="B19" t="s">
        <v>227</v>
      </c>
      <c r="C19" t="s">
        <v>138</v>
      </c>
      <c r="D19">
        <v>9</v>
      </c>
      <c r="E19" s="4">
        <v>45218</v>
      </c>
      <c r="F19" s="15">
        <v>0.33333333333333331</v>
      </c>
      <c r="G19" s="15">
        <v>0.33333333333333331</v>
      </c>
      <c r="H19" t="s">
        <v>132</v>
      </c>
      <c r="I19" t="s">
        <v>128</v>
      </c>
      <c r="J19" t="s">
        <v>219</v>
      </c>
      <c r="K19" s="21">
        <v>45317.6875</v>
      </c>
      <c r="L19">
        <f>SUMIF(C$2:C19, historico_movimientos[[#This Row],[id_producto]],D$2:D19)</f>
        <v>9</v>
      </c>
    </row>
    <row r="20" spans="1:12" x14ac:dyDescent="0.25">
      <c r="A20" t="s">
        <v>257</v>
      </c>
      <c r="B20" t="s">
        <v>227</v>
      </c>
      <c r="C20" t="s">
        <v>139</v>
      </c>
      <c r="D20">
        <v>4</v>
      </c>
      <c r="E20" s="4">
        <v>45218</v>
      </c>
      <c r="F20" s="15">
        <v>0.33333333333333331</v>
      </c>
      <c r="G20" s="15">
        <v>0.33333333333333331</v>
      </c>
      <c r="H20" t="s">
        <v>143</v>
      </c>
      <c r="I20" t="s">
        <v>133</v>
      </c>
      <c r="J20" t="s">
        <v>219</v>
      </c>
      <c r="K20" s="21">
        <v>45317.6875</v>
      </c>
      <c r="L20">
        <f>SUMIF(C$2:C20, historico_movimientos[[#This Row],[id_producto]],D$2:D20)</f>
        <v>4</v>
      </c>
    </row>
    <row r="21" spans="1:12" x14ac:dyDescent="0.25">
      <c r="A21" t="s">
        <v>258</v>
      </c>
      <c r="B21" t="s">
        <v>227</v>
      </c>
      <c r="C21" t="s">
        <v>137</v>
      </c>
      <c r="D21">
        <v>30</v>
      </c>
      <c r="E21" s="4">
        <v>45218</v>
      </c>
      <c r="F21" s="15">
        <v>0.33333333333333331</v>
      </c>
      <c r="G21" s="15">
        <v>0.33333333333333331</v>
      </c>
      <c r="H21" t="s">
        <v>131</v>
      </c>
      <c r="I21" t="s">
        <v>128</v>
      </c>
      <c r="J21" t="s">
        <v>219</v>
      </c>
      <c r="K21" s="21">
        <v>45317.6875</v>
      </c>
      <c r="L21">
        <f>SUMIF(C$2:C21, historico_movimientos[[#This Row],[id_producto]],D$2:D21)</f>
        <v>30</v>
      </c>
    </row>
    <row r="22" spans="1:12" x14ac:dyDescent="0.25">
      <c r="A22" t="s">
        <v>259</v>
      </c>
      <c r="B22" t="s">
        <v>227</v>
      </c>
      <c r="C22" t="s">
        <v>135</v>
      </c>
      <c r="D22">
        <v>1</v>
      </c>
      <c r="E22" s="4">
        <v>45218</v>
      </c>
      <c r="F22" s="15">
        <v>0.33333333333333331</v>
      </c>
      <c r="G22" s="15">
        <v>0.33333333333333331</v>
      </c>
      <c r="H22" t="s">
        <v>129</v>
      </c>
      <c r="I22" t="s">
        <v>128</v>
      </c>
      <c r="J22" t="s">
        <v>219</v>
      </c>
      <c r="K22" s="21">
        <v>45317.6875</v>
      </c>
      <c r="L22">
        <f>SUMIF(C$2:C22, historico_movimientos[[#This Row],[id_producto]],D$2:D22)</f>
        <v>1</v>
      </c>
    </row>
    <row r="23" spans="1:12" x14ac:dyDescent="0.25">
      <c r="A23" t="s">
        <v>260</v>
      </c>
      <c r="B23" t="s">
        <v>227</v>
      </c>
      <c r="C23" t="s">
        <v>136</v>
      </c>
      <c r="D23">
        <v>5</v>
      </c>
      <c r="E23" s="4">
        <v>45218</v>
      </c>
      <c r="F23" s="15">
        <v>0.33333333333333331</v>
      </c>
      <c r="G23" s="15">
        <v>0.33333333333333331</v>
      </c>
      <c r="H23" t="s">
        <v>130</v>
      </c>
      <c r="I23" t="s">
        <v>128</v>
      </c>
      <c r="J23" t="s">
        <v>219</v>
      </c>
      <c r="K23" s="21">
        <v>45317.6875</v>
      </c>
      <c r="L23">
        <f>SUMIF(C$2:C23, historico_movimientos[[#This Row],[id_producto]],D$2:D23)</f>
        <v>5</v>
      </c>
    </row>
    <row r="24" spans="1:12" x14ac:dyDescent="0.25">
      <c r="A24" t="s">
        <v>261</v>
      </c>
      <c r="B24" t="s">
        <v>227</v>
      </c>
      <c r="C24" t="s">
        <v>211</v>
      </c>
      <c r="D24">
        <v>10</v>
      </c>
      <c r="E24" s="4">
        <v>45218</v>
      </c>
      <c r="F24" s="15">
        <v>0.33333333333333331</v>
      </c>
      <c r="G24" s="15">
        <v>0.33333333333333331</v>
      </c>
      <c r="H24" t="s">
        <v>200</v>
      </c>
      <c r="I24" t="s">
        <v>217</v>
      </c>
      <c r="J24" t="s">
        <v>219</v>
      </c>
      <c r="K24" s="21">
        <v>45317.6875</v>
      </c>
      <c r="L24">
        <f>SUMIF(C$2:C24, historico_movimientos[[#This Row],[id_producto]],D$2:D24)</f>
        <v>10</v>
      </c>
    </row>
    <row r="25" spans="1:12" x14ac:dyDescent="0.25">
      <c r="A25" t="s">
        <v>262</v>
      </c>
      <c r="B25" t="s">
        <v>227</v>
      </c>
      <c r="C25" t="s">
        <v>212</v>
      </c>
      <c r="D25">
        <v>0</v>
      </c>
      <c r="E25" s="4">
        <v>45218</v>
      </c>
      <c r="F25" s="15">
        <v>0.33333333333333331</v>
      </c>
      <c r="G25" s="15">
        <v>0.33333333333333331</v>
      </c>
      <c r="H25" t="s">
        <v>201</v>
      </c>
      <c r="I25" t="s">
        <v>217</v>
      </c>
      <c r="J25" t="s">
        <v>219</v>
      </c>
      <c r="K25" s="21">
        <v>45317.6875</v>
      </c>
      <c r="L25">
        <f>SUMIF(C$2:C25, historico_movimientos[[#This Row],[id_producto]],D$2:D25)</f>
        <v>0</v>
      </c>
    </row>
    <row r="26" spans="1:12" x14ac:dyDescent="0.25">
      <c r="A26" t="s">
        <v>263</v>
      </c>
      <c r="B26" t="s">
        <v>227</v>
      </c>
      <c r="C26" t="s">
        <v>210</v>
      </c>
      <c r="D26">
        <v>0</v>
      </c>
      <c r="E26" s="4">
        <v>45218</v>
      </c>
      <c r="F26" s="15">
        <v>0.33333333333333331</v>
      </c>
      <c r="G26" s="15">
        <v>0.33333333333333331</v>
      </c>
      <c r="H26" t="s">
        <v>199</v>
      </c>
      <c r="I26" t="s">
        <v>217</v>
      </c>
      <c r="J26" t="s">
        <v>219</v>
      </c>
      <c r="K26" s="21">
        <v>45317.6875</v>
      </c>
      <c r="L26">
        <f>SUMIF(C$2:C26, historico_movimientos[[#This Row],[id_producto]],D$2:D26)</f>
        <v>0</v>
      </c>
    </row>
    <row r="27" spans="1:12" x14ac:dyDescent="0.25">
      <c r="A27" t="s">
        <v>264</v>
      </c>
      <c r="B27" t="s">
        <v>227</v>
      </c>
      <c r="C27" t="s">
        <v>208</v>
      </c>
      <c r="D27">
        <v>5</v>
      </c>
      <c r="E27" s="4">
        <v>45218</v>
      </c>
      <c r="F27" s="15">
        <v>0.33333333333333331</v>
      </c>
      <c r="G27" s="15">
        <v>0.33333333333333331</v>
      </c>
      <c r="H27" t="s">
        <v>197</v>
      </c>
      <c r="I27" t="s">
        <v>217</v>
      </c>
      <c r="J27" t="s">
        <v>219</v>
      </c>
      <c r="K27" s="21">
        <v>45317.6875</v>
      </c>
      <c r="L27">
        <f>SUMIF(C$2:C27, historico_movimientos[[#This Row],[id_producto]],D$2:D27)</f>
        <v>5</v>
      </c>
    </row>
    <row r="28" spans="1:12" x14ac:dyDescent="0.25">
      <c r="A28" t="s">
        <v>265</v>
      </c>
      <c r="B28" t="s">
        <v>227</v>
      </c>
      <c r="C28" t="s">
        <v>209</v>
      </c>
      <c r="D28">
        <v>4</v>
      </c>
      <c r="E28" s="4">
        <v>45218</v>
      </c>
      <c r="F28" s="15">
        <v>0.33333333333333331</v>
      </c>
      <c r="G28" s="15">
        <v>0.33333333333333331</v>
      </c>
      <c r="H28" t="s">
        <v>198</v>
      </c>
      <c r="I28" t="s">
        <v>217</v>
      </c>
      <c r="J28" t="s">
        <v>219</v>
      </c>
      <c r="K28" s="21">
        <v>45317.6875</v>
      </c>
      <c r="L28">
        <f>SUMIF(C$2:C28, historico_movimientos[[#This Row],[id_producto]],D$2:D28)</f>
        <v>4</v>
      </c>
    </row>
    <row r="29" spans="1:12" x14ac:dyDescent="0.25">
      <c r="A29" t="s">
        <v>266</v>
      </c>
      <c r="B29" t="s">
        <v>227</v>
      </c>
      <c r="C29" t="s">
        <v>213</v>
      </c>
      <c r="D29">
        <v>0</v>
      </c>
      <c r="E29" s="4">
        <v>45218</v>
      </c>
      <c r="F29" s="15">
        <v>0.33333333333333331</v>
      </c>
      <c r="G29" s="15">
        <v>0.33333333333333331</v>
      </c>
      <c r="H29" t="s">
        <v>202</v>
      </c>
      <c r="I29" t="s">
        <v>217</v>
      </c>
      <c r="J29" t="s">
        <v>219</v>
      </c>
      <c r="K29" s="21">
        <v>45317.6875</v>
      </c>
      <c r="L29">
        <f>SUMIF(C$2:C29, historico_movimientos[[#This Row],[id_producto]],D$2:D29)</f>
        <v>0</v>
      </c>
    </row>
    <row r="30" spans="1:12" x14ac:dyDescent="0.25">
      <c r="A30" t="s">
        <v>267</v>
      </c>
      <c r="B30" t="s">
        <v>227</v>
      </c>
      <c r="C30" t="s">
        <v>222</v>
      </c>
      <c r="D30">
        <v>13</v>
      </c>
      <c r="E30" s="4">
        <v>45218</v>
      </c>
      <c r="F30" s="15">
        <v>0.33333333333333331</v>
      </c>
      <c r="G30" s="15">
        <v>0.33333333333333331</v>
      </c>
      <c r="H30" t="s">
        <v>187</v>
      </c>
      <c r="I30" t="s">
        <v>184</v>
      </c>
      <c r="J30" t="s">
        <v>219</v>
      </c>
      <c r="K30" s="21">
        <v>45317.6875</v>
      </c>
      <c r="L30">
        <f>SUMIF(C$2:C30, historico_movimientos[[#This Row],[id_producto]],D$2:D30)</f>
        <v>13</v>
      </c>
    </row>
    <row r="31" spans="1:12" x14ac:dyDescent="0.25">
      <c r="A31" t="s">
        <v>268</v>
      </c>
      <c r="B31" t="s">
        <v>227</v>
      </c>
      <c r="C31" t="s">
        <v>223</v>
      </c>
      <c r="D31">
        <v>39</v>
      </c>
      <c r="E31" s="4">
        <v>45218</v>
      </c>
      <c r="F31" s="15">
        <v>0.33333333333333331</v>
      </c>
      <c r="G31" s="15">
        <v>0.33333333333333331</v>
      </c>
      <c r="H31" t="s">
        <v>188</v>
      </c>
      <c r="I31" t="s">
        <v>184</v>
      </c>
      <c r="J31" t="s">
        <v>219</v>
      </c>
      <c r="K31" s="21">
        <v>45317.6875</v>
      </c>
      <c r="L31">
        <f>SUMIF(C$2:C31, historico_movimientos[[#This Row],[id_producto]],D$2:D31)</f>
        <v>39</v>
      </c>
    </row>
    <row r="32" spans="1:12" x14ac:dyDescent="0.25">
      <c r="A32" t="s">
        <v>269</v>
      </c>
      <c r="B32" t="s">
        <v>227</v>
      </c>
      <c r="C32" t="s">
        <v>221</v>
      </c>
      <c r="D32">
        <v>0</v>
      </c>
      <c r="E32" s="4">
        <v>45218</v>
      </c>
      <c r="F32" s="15">
        <v>0.33333333333333331</v>
      </c>
      <c r="G32" s="15">
        <v>0.33333333333333331</v>
      </c>
      <c r="H32" t="s">
        <v>186</v>
      </c>
      <c r="I32" t="s">
        <v>184</v>
      </c>
      <c r="J32" t="s">
        <v>219</v>
      </c>
      <c r="K32" s="21">
        <v>45317.6875</v>
      </c>
      <c r="L32">
        <f>SUMIF(C$2:C32, historico_movimientos[[#This Row],[id_producto]],D$2:D32)</f>
        <v>0</v>
      </c>
    </row>
    <row r="33" spans="1:12" x14ac:dyDescent="0.25">
      <c r="A33" t="s">
        <v>270</v>
      </c>
      <c r="B33" t="s">
        <v>227</v>
      </c>
      <c r="C33" t="s">
        <v>214</v>
      </c>
      <c r="D33">
        <v>0</v>
      </c>
      <c r="E33" s="4">
        <v>45218</v>
      </c>
      <c r="F33" s="15">
        <v>0.33333333333333331</v>
      </c>
      <c r="G33" s="15">
        <v>0.33333333333333331</v>
      </c>
      <c r="H33" t="s">
        <v>203</v>
      </c>
      <c r="I33" t="s">
        <v>217</v>
      </c>
      <c r="J33" t="s">
        <v>219</v>
      </c>
      <c r="K33" s="21">
        <v>45317.6875</v>
      </c>
      <c r="L33">
        <f>SUMIF(C$2:C33, historico_movimientos[[#This Row],[id_producto]],D$2:D33)</f>
        <v>0</v>
      </c>
    </row>
    <row r="34" spans="1:12" x14ac:dyDescent="0.25">
      <c r="A34" t="s">
        <v>271</v>
      </c>
      <c r="B34" t="s">
        <v>227</v>
      </c>
      <c r="C34" t="s">
        <v>185</v>
      </c>
      <c r="D34">
        <v>28</v>
      </c>
      <c r="E34" s="4">
        <v>45218</v>
      </c>
      <c r="F34" s="15">
        <v>0.33333333333333331</v>
      </c>
      <c r="G34" s="15">
        <v>0.33333333333333331</v>
      </c>
      <c r="H34" t="s">
        <v>181</v>
      </c>
      <c r="I34" t="s">
        <v>184</v>
      </c>
      <c r="J34" t="s">
        <v>219</v>
      </c>
      <c r="K34" s="21">
        <v>45317.6875</v>
      </c>
      <c r="L34">
        <f>SUMIF(C$2:C34, historico_movimientos[[#This Row],[id_producto]],D$2:D34)</f>
        <v>28</v>
      </c>
    </row>
    <row r="35" spans="1:12" x14ac:dyDescent="0.25">
      <c r="A35" t="s">
        <v>272</v>
      </c>
      <c r="B35" t="s">
        <v>227</v>
      </c>
      <c r="C35" t="s">
        <v>158</v>
      </c>
      <c r="D35">
        <v>49</v>
      </c>
      <c r="E35" s="4">
        <v>45218</v>
      </c>
      <c r="F35" s="15">
        <v>0.33333333333333331</v>
      </c>
      <c r="G35" s="15">
        <v>0.33333333333333331</v>
      </c>
      <c r="H35" t="s">
        <v>154</v>
      </c>
      <c r="I35" t="s">
        <v>149</v>
      </c>
      <c r="J35" t="s">
        <v>219</v>
      </c>
      <c r="K35" s="21">
        <v>45317.6875</v>
      </c>
      <c r="L35">
        <f>SUMIF(C$2:C35, historico_movimientos[[#This Row],[id_producto]],D$2:D35)</f>
        <v>49</v>
      </c>
    </row>
    <row r="36" spans="1:12" x14ac:dyDescent="0.25">
      <c r="A36" t="s">
        <v>273</v>
      </c>
      <c r="B36" t="s">
        <v>227</v>
      </c>
      <c r="C36" t="s">
        <v>159</v>
      </c>
      <c r="D36">
        <v>3</v>
      </c>
      <c r="E36" s="4">
        <v>45218</v>
      </c>
      <c r="F36" s="15">
        <v>0.33333333333333331</v>
      </c>
      <c r="G36" s="15">
        <v>0.33333333333333331</v>
      </c>
      <c r="H36" t="s">
        <v>155</v>
      </c>
      <c r="I36" t="s">
        <v>149</v>
      </c>
      <c r="J36" t="s">
        <v>219</v>
      </c>
      <c r="K36" s="21">
        <v>45317.6875</v>
      </c>
      <c r="L36">
        <f>SUMIF(C$2:C36, historico_movimientos[[#This Row],[id_producto]],D$2:D36)</f>
        <v>3</v>
      </c>
    </row>
    <row r="37" spans="1:12" x14ac:dyDescent="0.25">
      <c r="A37" t="s">
        <v>274</v>
      </c>
      <c r="B37" t="s">
        <v>227</v>
      </c>
      <c r="C37" t="s">
        <v>157</v>
      </c>
      <c r="D37">
        <v>4</v>
      </c>
      <c r="E37" s="4">
        <v>45218</v>
      </c>
      <c r="F37" s="15">
        <v>0.33333333333333331</v>
      </c>
      <c r="G37" s="15">
        <v>0.33333333333333331</v>
      </c>
      <c r="H37" t="s">
        <v>153</v>
      </c>
      <c r="I37" t="s">
        <v>149</v>
      </c>
      <c r="J37" t="s">
        <v>219</v>
      </c>
      <c r="K37" s="21">
        <v>45317.6875</v>
      </c>
      <c r="L37">
        <f>SUMIF(C$2:C37, historico_movimientos[[#This Row],[id_producto]],D$2:D37)</f>
        <v>4</v>
      </c>
    </row>
    <row r="38" spans="1:12" x14ac:dyDescent="0.25">
      <c r="A38" t="s">
        <v>275</v>
      </c>
      <c r="B38" t="s">
        <v>227</v>
      </c>
      <c r="C38" t="s">
        <v>180</v>
      </c>
      <c r="D38">
        <v>32</v>
      </c>
      <c r="E38" s="4">
        <v>45218</v>
      </c>
      <c r="F38" s="15">
        <v>0.33333333333333331</v>
      </c>
      <c r="G38" s="15">
        <v>0.33333333333333331</v>
      </c>
      <c r="H38" t="s">
        <v>173</v>
      </c>
      <c r="I38" t="s">
        <v>133</v>
      </c>
      <c r="J38" t="s">
        <v>219</v>
      </c>
      <c r="K38" s="21">
        <v>45317.6875</v>
      </c>
      <c r="L38">
        <f>SUMIF(C$2:C38, historico_movimientos[[#This Row],[id_producto]],D$2:D38)</f>
        <v>32</v>
      </c>
    </row>
    <row r="39" spans="1:12" x14ac:dyDescent="0.25">
      <c r="A39" t="s">
        <v>276</v>
      </c>
      <c r="B39" t="s">
        <v>227</v>
      </c>
      <c r="C39" t="s">
        <v>152</v>
      </c>
      <c r="D39">
        <v>53</v>
      </c>
      <c r="E39" s="4">
        <v>45218</v>
      </c>
      <c r="F39" s="15">
        <v>0.33333333333333331</v>
      </c>
      <c r="G39" s="15">
        <v>0.33333333333333331</v>
      </c>
      <c r="H39" t="s">
        <v>151</v>
      </c>
      <c r="I39" t="s">
        <v>149</v>
      </c>
      <c r="J39" t="s">
        <v>219</v>
      </c>
      <c r="K39" s="21">
        <v>45317.6875</v>
      </c>
      <c r="L39">
        <f>SUMIF(C$2:C39, historico_movimientos[[#This Row],[id_producto]],D$2:D39)</f>
        <v>53</v>
      </c>
    </row>
    <row r="40" spans="1:12" x14ac:dyDescent="0.25">
      <c r="A40" t="s">
        <v>277</v>
      </c>
      <c r="B40" t="s">
        <v>227</v>
      </c>
      <c r="C40" t="s">
        <v>160</v>
      </c>
      <c r="D40">
        <v>36</v>
      </c>
      <c r="E40" s="4">
        <v>45218</v>
      </c>
      <c r="F40" s="15">
        <v>0.33333333333333331</v>
      </c>
      <c r="G40" s="15">
        <v>0.33333333333333331</v>
      </c>
      <c r="H40" t="s">
        <v>156</v>
      </c>
      <c r="I40" t="s">
        <v>149</v>
      </c>
      <c r="J40" t="s">
        <v>219</v>
      </c>
      <c r="K40" s="21">
        <v>45317.6875</v>
      </c>
      <c r="L40">
        <f>SUMIF(C$2:C40, historico_movimientos[[#This Row],[id_producto]],D$2:D40)</f>
        <v>36</v>
      </c>
    </row>
    <row r="41" spans="1:12" x14ac:dyDescent="0.25">
      <c r="A41" t="s">
        <v>278</v>
      </c>
      <c r="B41" t="s">
        <v>227</v>
      </c>
      <c r="C41" t="s">
        <v>206</v>
      </c>
      <c r="D41">
        <v>10</v>
      </c>
      <c r="E41" s="4">
        <v>45218</v>
      </c>
      <c r="F41" s="15">
        <v>0.33333333333333331</v>
      </c>
      <c r="G41" s="15">
        <v>0.33333333333333331</v>
      </c>
      <c r="H41" t="s">
        <v>195</v>
      </c>
      <c r="I41" t="s">
        <v>217</v>
      </c>
      <c r="J41" t="s">
        <v>219</v>
      </c>
      <c r="K41" s="21">
        <v>45317.6875</v>
      </c>
      <c r="L41">
        <f>SUMIF(C$2:C41, historico_movimientos[[#This Row],[id_producto]],D$2:D41)</f>
        <v>10</v>
      </c>
    </row>
    <row r="42" spans="1:12" x14ac:dyDescent="0.25">
      <c r="A42" t="s">
        <v>279</v>
      </c>
      <c r="B42" t="s">
        <v>227</v>
      </c>
      <c r="C42" t="s">
        <v>207</v>
      </c>
      <c r="D42">
        <v>15</v>
      </c>
      <c r="E42" s="4">
        <v>45218</v>
      </c>
      <c r="F42" s="15">
        <v>0.33333333333333331</v>
      </c>
      <c r="G42" s="15">
        <v>0.33333333333333331</v>
      </c>
      <c r="H42" t="s">
        <v>196</v>
      </c>
      <c r="I42" t="s">
        <v>217</v>
      </c>
      <c r="J42" t="s">
        <v>219</v>
      </c>
      <c r="K42" s="21">
        <v>45317.6875</v>
      </c>
      <c r="L42">
        <f>SUMIF(C$2:C42, historico_movimientos[[#This Row],[id_producto]],D$2:D42)</f>
        <v>15</v>
      </c>
    </row>
    <row r="43" spans="1:12" x14ac:dyDescent="0.25">
      <c r="A43" t="s">
        <v>280</v>
      </c>
      <c r="B43" t="s">
        <v>227</v>
      </c>
      <c r="C43" t="s">
        <v>205</v>
      </c>
      <c r="D43">
        <v>4</v>
      </c>
      <c r="E43" s="4">
        <v>45218</v>
      </c>
      <c r="F43" s="15">
        <v>0.33333333333333331</v>
      </c>
      <c r="G43" s="15">
        <v>0.33333333333333331</v>
      </c>
      <c r="H43" t="s">
        <v>194</v>
      </c>
      <c r="I43" t="s">
        <v>217</v>
      </c>
      <c r="J43" t="s">
        <v>219</v>
      </c>
      <c r="K43" s="21">
        <v>45317.6875</v>
      </c>
      <c r="L43">
        <f>SUMIF(C$2:C43, historico_movimientos[[#This Row],[id_producto]],D$2:D43)</f>
        <v>4</v>
      </c>
    </row>
    <row r="44" spans="1:12" x14ac:dyDescent="0.25">
      <c r="A44" t="s">
        <v>281</v>
      </c>
      <c r="B44" t="s">
        <v>227</v>
      </c>
      <c r="C44" t="s">
        <v>191</v>
      </c>
      <c r="D44">
        <v>69</v>
      </c>
      <c r="E44" s="4">
        <v>45218</v>
      </c>
      <c r="F44" s="15">
        <v>0.33333333333333331</v>
      </c>
      <c r="G44" s="15">
        <v>0.33333333333333331</v>
      </c>
      <c r="H44" t="s">
        <v>192</v>
      </c>
      <c r="I44" t="s">
        <v>217</v>
      </c>
      <c r="J44" t="s">
        <v>219</v>
      </c>
      <c r="K44" s="21">
        <v>45317.6875</v>
      </c>
      <c r="L44">
        <f>SUMIF(C$2:C44, historico_movimientos[[#This Row],[id_producto]],D$2:D44)</f>
        <v>69</v>
      </c>
    </row>
    <row r="45" spans="1:12" x14ac:dyDescent="0.25">
      <c r="A45" t="s">
        <v>282</v>
      </c>
      <c r="B45" t="s">
        <v>227</v>
      </c>
      <c r="C45" t="s">
        <v>204</v>
      </c>
      <c r="D45">
        <v>67</v>
      </c>
      <c r="E45" s="4">
        <v>45218</v>
      </c>
      <c r="F45" s="15">
        <v>0.33333333333333331</v>
      </c>
      <c r="G45" s="15">
        <v>0.33333333333333331</v>
      </c>
      <c r="H45" t="s">
        <v>193</v>
      </c>
      <c r="I45" t="s">
        <v>217</v>
      </c>
      <c r="J45" t="s">
        <v>219</v>
      </c>
      <c r="K45" s="21">
        <v>45317.6875</v>
      </c>
      <c r="L45">
        <f>SUMIF(C$2:C45, historico_movimientos[[#This Row],[id_producto]],D$2:D45)</f>
        <v>67</v>
      </c>
    </row>
    <row r="46" spans="1:12" x14ac:dyDescent="0.25">
      <c r="A46" t="s">
        <v>283</v>
      </c>
      <c r="B46" t="s">
        <v>227</v>
      </c>
      <c r="C46" t="s">
        <v>34</v>
      </c>
      <c r="D46">
        <v>12</v>
      </c>
      <c r="E46" s="4">
        <v>45218</v>
      </c>
      <c r="F46" s="15">
        <v>0.33333333333333331</v>
      </c>
      <c r="G46" s="15">
        <v>0.33333333333333331</v>
      </c>
      <c r="H46" t="s">
        <v>41</v>
      </c>
      <c r="I46" t="s">
        <v>373</v>
      </c>
      <c r="J46" t="s">
        <v>219</v>
      </c>
      <c r="K46" s="21">
        <v>45317.6875</v>
      </c>
      <c r="L46">
        <f>SUMIF(C$2:C46, historico_movimientos[[#This Row],[id_producto]],D$2:D46)</f>
        <v>12</v>
      </c>
    </row>
    <row r="47" spans="1:12" x14ac:dyDescent="0.25">
      <c r="A47" t="s">
        <v>284</v>
      </c>
      <c r="B47" t="s">
        <v>227</v>
      </c>
      <c r="C47" t="s">
        <v>35</v>
      </c>
      <c r="D47">
        <v>0</v>
      </c>
      <c r="E47" s="4">
        <v>45218</v>
      </c>
      <c r="F47" s="15">
        <v>0.33333333333333331</v>
      </c>
      <c r="G47" s="15">
        <v>0.33333333333333331</v>
      </c>
      <c r="H47" t="s">
        <v>42</v>
      </c>
      <c r="I47" t="s">
        <v>373</v>
      </c>
      <c r="J47" t="s">
        <v>219</v>
      </c>
      <c r="K47" s="21">
        <v>45317.6875</v>
      </c>
      <c r="L47">
        <f>SUMIF(C$2:C47, historico_movimientos[[#This Row],[id_producto]],D$2:D47)</f>
        <v>0</v>
      </c>
    </row>
    <row r="48" spans="1:12" x14ac:dyDescent="0.25">
      <c r="A48" t="s">
        <v>285</v>
      </c>
      <c r="B48" t="s">
        <v>227</v>
      </c>
      <c r="C48" t="s">
        <v>33</v>
      </c>
      <c r="D48">
        <v>14</v>
      </c>
      <c r="E48" s="4">
        <v>45218</v>
      </c>
      <c r="F48" s="15">
        <v>0.33333333333333331</v>
      </c>
      <c r="G48" s="15">
        <v>0.33333333333333331</v>
      </c>
      <c r="H48" t="s">
        <v>40</v>
      </c>
      <c r="I48" t="s">
        <v>373</v>
      </c>
      <c r="J48" t="s">
        <v>219</v>
      </c>
      <c r="K48" s="21">
        <v>45317.6875</v>
      </c>
      <c r="L48">
        <f>SUMIF(C$2:C48, historico_movimientos[[#This Row],[id_producto]],D$2:D48)</f>
        <v>14</v>
      </c>
    </row>
    <row r="49" spans="1:12" x14ac:dyDescent="0.25">
      <c r="A49" t="s">
        <v>286</v>
      </c>
      <c r="B49" t="s">
        <v>227</v>
      </c>
      <c r="C49" t="s">
        <v>31</v>
      </c>
      <c r="D49">
        <v>4</v>
      </c>
      <c r="E49" s="4">
        <v>45218</v>
      </c>
      <c r="F49" s="15">
        <v>0.33333333333333331</v>
      </c>
      <c r="G49" s="15">
        <v>0.33333333333333331</v>
      </c>
      <c r="H49" t="s">
        <v>38</v>
      </c>
      <c r="I49" t="s">
        <v>373</v>
      </c>
      <c r="J49" t="s">
        <v>219</v>
      </c>
      <c r="K49" s="21">
        <v>45317.6875</v>
      </c>
      <c r="L49">
        <f>SUMIF(C$2:C49, historico_movimientos[[#This Row],[id_producto]],D$2:D49)</f>
        <v>4</v>
      </c>
    </row>
    <row r="50" spans="1:12" x14ac:dyDescent="0.25">
      <c r="A50" t="s">
        <v>287</v>
      </c>
      <c r="B50" t="s">
        <v>227</v>
      </c>
      <c r="C50" t="s">
        <v>32</v>
      </c>
      <c r="D50">
        <v>21</v>
      </c>
      <c r="E50" s="4">
        <v>45218</v>
      </c>
      <c r="F50" s="15">
        <v>0.33333333333333331</v>
      </c>
      <c r="G50" s="15">
        <v>0.33333333333333331</v>
      </c>
      <c r="H50" t="s">
        <v>39</v>
      </c>
      <c r="I50" t="s">
        <v>373</v>
      </c>
      <c r="J50" t="s">
        <v>219</v>
      </c>
      <c r="K50" s="21">
        <v>45317.6875</v>
      </c>
      <c r="L50">
        <f>SUMIF(C$2:C50, historico_movimientos[[#This Row],[id_producto]],D$2:D50)</f>
        <v>21</v>
      </c>
    </row>
    <row r="51" spans="1:12" x14ac:dyDescent="0.25">
      <c r="A51" t="s">
        <v>288</v>
      </c>
      <c r="B51" t="s">
        <v>227</v>
      </c>
      <c r="C51" t="s">
        <v>44</v>
      </c>
      <c r="D51">
        <v>15</v>
      </c>
      <c r="E51" s="4">
        <v>45218</v>
      </c>
      <c r="F51" s="15">
        <v>0.33333333333333331</v>
      </c>
      <c r="G51" s="15">
        <v>0.33333333333333331</v>
      </c>
      <c r="H51" t="s">
        <v>52</v>
      </c>
      <c r="I51" t="s">
        <v>373</v>
      </c>
      <c r="J51" t="s">
        <v>219</v>
      </c>
      <c r="K51" s="21">
        <v>45317.6875</v>
      </c>
      <c r="L51">
        <f>SUMIF(C$2:C51, historico_movimientos[[#This Row],[id_producto]],D$2:D51)</f>
        <v>15</v>
      </c>
    </row>
    <row r="52" spans="1:12" x14ac:dyDescent="0.25">
      <c r="A52" t="s">
        <v>289</v>
      </c>
      <c r="B52" t="s">
        <v>227</v>
      </c>
      <c r="C52" t="s">
        <v>48</v>
      </c>
      <c r="D52">
        <v>14</v>
      </c>
      <c r="E52" s="4">
        <v>45218</v>
      </c>
      <c r="F52" s="15">
        <v>0.33333333333333331</v>
      </c>
      <c r="G52" s="15">
        <v>0.33333333333333331</v>
      </c>
      <c r="H52" t="s">
        <v>56</v>
      </c>
      <c r="I52" t="s">
        <v>373</v>
      </c>
      <c r="J52" t="s">
        <v>219</v>
      </c>
      <c r="K52" s="21">
        <v>45317.6875</v>
      </c>
      <c r="L52">
        <f>SUMIF(C$2:C52, historico_movimientos[[#This Row],[id_producto]],D$2:D52)</f>
        <v>14</v>
      </c>
    </row>
    <row r="53" spans="1:12" x14ac:dyDescent="0.25">
      <c r="A53" t="s">
        <v>290</v>
      </c>
      <c r="B53" t="s">
        <v>227</v>
      </c>
      <c r="C53" t="s">
        <v>49</v>
      </c>
      <c r="D53">
        <v>15</v>
      </c>
      <c r="E53" s="4">
        <v>45218</v>
      </c>
      <c r="F53" s="15">
        <v>0.33333333333333331</v>
      </c>
      <c r="G53" s="15">
        <v>0.33333333333333331</v>
      </c>
      <c r="H53" t="s">
        <v>57</v>
      </c>
      <c r="I53" t="s">
        <v>373</v>
      </c>
      <c r="J53" t="s">
        <v>219</v>
      </c>
      <c r="K53" s="21">
        <v>45317.6875</v>
      </c>
      <c r="L53">
        <f>SUMIF(C$2:C53, historico_movimientos[[#This Row],[id_producto]],D$2:D53)</f>
        <v>15</v>
      </c>
    </row>
    <row r="54" spans="1:12" x14ac:dyDescent="0.25">
      <c r="A54" t="s">
        <v>291</v>
      </c>
      <c r="B54" t="s">
        <v>227</v>
      </c>
      <c r="C54" t="s">
        <v>47</v>
      </c>
      <c r="D54">
        <v>15</v>
      </c>
      <c r="E54" s="4">
        <v>45218</v>
      </c>
      <c r="F54" s="15">
        <v>0.33333333333333331</v>
      </c>
      <c r="G54" s="15">
        <v>0.33333333333333331</v>
      </c>
      <c r="H54" t="s">
        <v>55</v>
      </c>
      <c r="I54" t="s">
        <v>373</v>
      </c>
      <c r="J54" t="s">
        <v>219</v>
      </c>
      <c r="K54" s="21">
        <v>45317.6875</v>
      </c>
      <c r="L54">
        <f>SUMIF(C$2:C54, historico_movimientos[[#This Row],[id_producto]],D$2:D54)</f>
        <v>15</v>
      </c>
    </row>
    <row r="55" spans="1:12" x14ac:dyDescent="0.25">
      <c r="A55" t="s">
        <v>292</v>
      </c>
      <c r="B55" t="s">
        <v>227</v>
      </c>
      <c r="C55" t="s">
        <v>45</v>
      </c>
      <c r="D55">
        <v>8</v>
      </c>
      <c r="E55" s="4">
        <v>45218</v>
      </c>
      <c r="F55" s="15">
        <v>0.33333333333333331</v>
      </c>
      <c r="G55" s="15">
        <v>0.33333333333333331</v>
      </c>
      <c r="H55" t="s">
        <v>53</v>
      </c>
      <c r="I55" t="s">
        <v>373</v>
      </c>
      <c r="J55" t="s">
        <v>219</v>
      </c>
      <c r="K55" s="21">
        <v>45317.6875</v>
      </c>
      <c r="L55">
        <f>SUMIF(C$2:C55, historico_movimientos[[#This Row],[id_producto]],D$2:D55)</f>
        <v>8</v>
      </c>
    </row>
    <row r="56" spans="1:12" x14ac:dyDescent="0.25">
      <c r="A56" t="s">
        <v>293</v>
      </c>
      <c r="B56" t="s">
        <v>227</v>
      </c>
      <c r="C56" t="s">
        <v>46</v>
      </c>
      <c r="D56">
        <v>46</v>
      </c>
      <c r="E56" s="4">
        <v>45218</v>
      </c>
      <c r="F56" s="15">
        <v>0.33333333333333331</v>
      </c>
      <c r="G56" s="15">
        <v>0.33333333333333331</v>
      </c>
      <c r="H56" t="s">
        <v>54</v>
      </c>
      <c r="I56" t="s">
        <v>373</v>
      </c>
      <c r="J56" t="s">
        <v>219</v>
      </c>
      <c r="K56" s="21">
        <v>45317.6875</v>
      </c>
      <c r="L56">
        <f>SUMIF(C$2:C56, historico_movimientos[[#This Row],[id_producto]],D$2:D56)</f>
        <v>46</v>
      </c>
    </row>
    <row r="57" spans="1:12" x14ac:dyDescent="0.25">
      <c r="A57" t="s">
        <v>294</v>
      </c>
      <c r="B57" t="s">
        <v>227</v>
      </c>
      <c r="C57" t="s">
        <v>15</v>
      </c>
      <c r="D57">
        <v>0</v>
      </c>
      <c r="E57" s="4">
        <v>45218</v>
      </c>
      <c r="F57" s="15">
        <v>0.33333333333333331</v>
      </c>
      <c r="G57" s="15">
        <v>0.33333333333333331</v>
      </c>
      <c r="H57" t="s">
        <v>14</v>
      </c>
      <c r="I57" t="s">
        <v>373</v>
      </c>
      <c r="J57" t="s">
        <v>219</v>
      </c>
      <c r="K57" s="21">
        <v>45317.6875</v>
      </c>
      <c r="L57">
        <f>SUMIF(C$2:C57, historico_movimientos[[#This Row],[id_producto]],D$2:D57)</f>
        <v>0</v>
      </c>
    </row>
    <row r="58" spans="1:12" x14ac:dyDescent="0.25">
      <c r="A58" t="s">
        <v>295</v>
      </c>
      <c r="B58" t="s">
        <v>227</v>
      </c>
      <c r="C58" t="s">
        <v>16</v>
      </c>
      <c r="D58">
        <v>32</v>
      </c>
      <c r="E58" s="4">
        <v>45218</v>
      </c>
      <c r="F58" s="15">
        <v>0.33333333333333331</v>
      </c>
      <c r="G58" s="15">
        <v>0.33333333333333331</v>
      </c>
      <c r="H58" t="s">
        <v>20</v>
      </c>
      <c r="I58" t="s">
        <v>373</v>
      </c>
      <c r="J58" t="s">
        <v>219</v>
      </c>
      <c r="K58" s="21">
        <v>45317.6875</v>
      </c>
      <c r="L58">
        <f>SUMIF(C$2:C58, historico_movimientos[[#This Row],[id_producto]],D$2:D58)</f>
        <v>32</v>
      </c>
    </row>
    <row r="59" spans="1:12" x14ac:dyDescent="0.25">
      <c r="A59" t="s">
        <v>296</v>
      </c>
      <c r="B59" t="s">
        <v>227</v>
      </c>
      <c r="C59" t="s">
        <v>13</v>
      </c>
      <c r="D59">
        <v>51</v>
      </c>
      <c r="E59" s="4">
        <v>45218</v>
      </c>
      <c r="F59" s="15">
        <v>0.33333333333333331</v>
      </c>
      <c r="G59" s="15">
        <v>0.33333333333333331</v>
      </c>
      <c r="H59" t="s">
        <v>12</v>
      </c>
      <c r="I59" t="s">
        <v>373</v>
      </c>
      <c r="J59" t="s">
        <v>219</v>
      </c>
      <c r="K59" s="21">
        <v>45317.6875</v>
      </c>
      <c r="L59">
        <f>SUMIF(C$2:C59, historico_movimientos[[#This Row],[id_producto]],D$2:D59)</f>
        <v>51</v>
      </c>
    </row>
    <row r="60" spans="1:12" x14ac:dyDescent="0.25">
      <c r="A60" t="s">
        <v>297</v>
      </c>
      <c r="B60" t="s">
        <v>227</v>
      </c>
      <c r="C60" t="s">
        <v>9</v>
      </c>
      <c r="D60">
        <v>99</v>
      </c>
      <c r="E60" s="4">
        <v>45218</v>
      </c>
      <c r="F60" s="15">
        <v>0.33333333333333331</v>
      </c>
      <c r="G60" s="15">
        <v>0.33333333333333331</v>
      </c>
      <c r="H60" t="s">
        <v>7</v>
      </c>
      <c r="I60" t="s">
        <v>373</v>
      </c>
      <c r="J60" t="s">
        <v>219</v>
      </c>
      <c r="K60" s="21">
        <v>45317.6875</v>
      </c>
      <c r="L60">
        <f>SUMIF(C$2:C60, historico_movimientos[[#This Row],[id_producto]],D$2:D60)</f>
        <v>99</v>
      </c>
    </row>
    <row r="61" spans="1:12" x14ac:dyDescent="0.25">
      <c r="A61" t="s">
        <v>298</v>
      </c>
      <c r="B61" t="s">
        <v>227</v>
      </c>
      <c r="C61" t="s">
        <v>11</v>
      </c>
      <c r="D61">
        <v>60</v>
      </c>
      <c r="E61" s="4">
        <v>45218</v>
      </c>
      <c r="F61" s="15">
        <v>0.33333333333333331</v>
      </c>
      <c r="G61" s="15">
        <v>0.33333333333333331</v>
      </c>
      <c r="H61" t="s">
        <v>10</v>
      </c>
      <c r="I61" t="s">
        <v>373</v>
      </c>
      <c r="J61" t="s">
        <v>219</v>
      </c>
      <c r="K61" s="21">
        <v>45317.6875</v>
      </c>
      <c r="L61">
        <f>SUMIF(C$2:C61, historico_movimientos[[#This Row],[id_producto]],D$2:D61)</f>
        <v>60</v>
      </c>
    </row>
    <row r="62" spans="1:12" x14ac:dyDescent="0.25">
      <c r="A62" t="s">
        <v>299</v>
      </c>
      <c r="B62" t="s">
        <v>227</v>
      </c>
      <c r="C62" t="s">
        <v>17</v>
      </c>
      <c r="D62">
        <v>10</v>
      </c>
      <c r="E62" s="4">
        <v>45218</v>
      </c>
      <c r="F62" s="15">
        <v>0.33333333333333331</v>
      </c>
      <c r="G62" s="15">
        <v>0.33333333333333331</v>
      </c>
      <c r="H62" t="s">
        <v>21</v>
      </c>
      <c r="I62" t="s">
        <v>373</v>
      </c>
      <c r="J62" t="s">
        <v>219</v>
      </c>
      <c r="K62" s="21">
        <v>45317.6875</v>
      </c>
      <c r="L62">
        <f>SUMIF(C$2:C62, historico_movimientos[[#This Row],[id_producto]],D$2:D62)</f>
        <v>10</v>
      </c>
    </row>
    <row r="63" spans="1:12" x14ac:dyDescent="0.25">
      <c r="A63" t="s">
        <v>300</v>
      </c>
      <c r="B63" t="s">
        <v>227</v>
      </c>
      <c r="C63" t="s">
        <v>29</v>
      </c>
      <c r="D63">
        <v>0</v>
      </c>
      <c r="E63" s="4">
        <v>45218</v>
      </c>
      <c r="F63" s="15">
        <v>0.33333333333333331</v>
      </c>
      <c r="G63" s="15">
        <v>0.33333333333333331</v>
      </c>
      <c r="H63" t="s">
        <v>36</v>
      </c>
      <c r="I63" t="s">
        <v>373</v>
      </c>
      <c r="J63" t="s">
        <v>219</v>
      </c>
      <c r="K63" s="21">
        <v>45317.6875</v>
      </c>
      <c r="L63">
        <f>SUMIF(C$2:C63, historico_movimientos[[#This Row],[id_producto]],D$2:D63)</f>
        <v>0</v>
      </c>
    </row>
    <row r="64" spans="1:12" x14ac:dyDescent="0.25">
      <c r="A64" t="s">
        <v>301</v>
      </c>
      <c r="B64" t="s">
        <v>227</v>
      </c>
      <c r="C64" t="s">
        <v>30</v>
      </c>
      <c r="D64">
        <v>35</v>
      </c>
      <c r="E64" s="4">
        <v>45218</v>
      </c>
      <c r="F64" s="15">
        <v>0.33333333333333331</v>
      </c>
      <c r="G64" s="15">
        <v>0.33333333333333331</v>
      </c>
      <c r="H64" t="s">
        <v>37</v>
      </c>
      <c r="I64" t="s">
        <v>373</v>
      </c>
      <c r="J64" t="s">
        <v>219</v>
      </c>
      <c r="K64" s="21">
        <v>45317.6875</v>
      </c>
      <c r="L64">
        <f>SUMIF(C$2:C64, historico_movimientos[[#This Row],[id_producto]],D$2:D64)</f>
        <v>35</v>
      </c>
    </row>
    <row r="65" spans="1:12" x14ac:dyDescent="0.25">
      <c r="A65" t="s">
        <v>302</v>
      </c>
      <c r="B65" t="s">
        <v>227</v>
      </c>
      <c r="C65" t="s">
        <v>27</v>
      </c>
      <c r="D65">
        <v>9</v>
      </c>
      <c r="E65" s="4">
        <v>45218</v>
      </c>
      <c r="F65" s="15">
        <v>0.33333333333333331</v>
      </c>
      <c r="G65" s="15">
        <v>0.33333333333333331</v>
      </c>
      <c r="H65" t="s">
        <v>28</v>
      </c>
      <c r="I65" t="s">
        <v>373</v>
      </c>
      <c r="J65" t="s">
        <v>219</v>
      </c>
      <c r="K65" s="21">
        <v>45317.6875</v>
      </c>
      <c r="L65">
        <f>SUMIF(C$2:C65, historico_movimientos[[#This Row],[id_producto]],D$2:D65)</f>
        <v>9</v>
      </c>
    </row>
    <row r="66" spans="1:12" x14ac:dyDescent="0.25">
      <c r="A66" t="s">
        <v>303</v>
      </c>
      <c r="B66" t="s">
        <v>227</v>
      </c>
      <c r="C66" t="s">
        <v>18</v>
      </c>
      <c r="D66">
        <v>17</v>
      </c>
      <c r="E66" s="4">
        <v>45218</v>
      </c>
      <c r="F66" s="15">
        <v>0.33333333333333331</v>
      </c>
      <c r="G66" s="15">
        <v>0.33333333333333331</v>
      </c>
      <c r="H66" t="s">
        <v>22</v>
      </c>
      <c r="I66" t="s">
        <v>373</v>
      </c>
      <c r="J66" t="s">
        <v>219</v>
      </c>
      <c r="K66" s="21">
        <v>45317.6875</v>
      </c>
      <c r="L66">
        <f>SUMIF(C$2:C66, historico_movimientos[[#This Row],[id_producto]],D$2:D66)</f>
        <v>17</v>
      </c>
    </row>
    <row r="67" spans="1:12" x14ac:dyDescent="0.25">
      <c r="A67" t="s">
        <v>304</v>
      </c>
      <c r="B67" t="s">
        <v>227</v>
      </c>
      <c r="C67" t="s">
        <v>19</v>
      </c>
      <c r="D67">
        <v>21</v>
      </c>
      <c r="E67" s="4">
        <v>45218</v>
      </c>
      <c r="F67" s="15">
        <v>0.33333333333333331</v>
      </c>
      <c r="G67" s="15">
        <v>0.33333333333333331</v>
      </c>
      <c r="H67" t="s">
        <v>23</v>
      </c>
      <c r="I67" t="s">
        <v>373</v>
      </c>
      <c r="J67" t="s">
        <v>219</v>
      </c>
      <c r="K67" s="21">
        <v>45317.6875</v>
      </c>
      <c r="L67">
        <f>SUMIF(C$2:C67, historico_movimientos[[#This Row],[id_producto]],D$2:D67)</f>
        <v>21</v>
      </c>
    </row>
    <row r="68" spans="1:12" x14ac:dyDescent="0.25">
      <c r="A68" t="s">
        <v>305</v>
      </c>
      <c r="B68" t="s">
        <v>227</v>
      </c>
      <c r="C68" t="s">
        <v>87</v>
      </c>
      <c r="D68">
        <v>37</v>
      </c>
      <c r="E68" s="4">
        <v>45218</v>
      </c>
      <c r="F68" s="15">
        <v>0.33333333333333331</v>
      </c>
      <c r="G68" s="15">
        <v>0.33333333333333331</v>
      </c>
      <c r="H68" t="s">
        <v>94</v>
      </c>
      <c r="I68" t="s">
        <v>373</v>
      </c>
      <c r="J68" t="s">
        <v>219</v>
      </c>
      <c r="K68" s="21">
        <v>45317.6875</v>
      </c>
      <c r="L68">
        <f>SUMIF(C$2:C68, historico_movimientos[[#This Row],[id_producto]],D$2:D68)</f>
        <v>37</v>
      </c>
    </row>
    <row r="69" spans="1:12" x14ac:dyDescent="0.25">
      <c r="A69" t="s">
        <v>306</v>
      </c>
      <c r="B69" t="s">
        <v>227</v>
      </c>
      <c r="C69" t="s">
        <v>97</v>
      </c>
      <c r="D69">
        <v>39</v>
      </c>
      <c r="E69" s="4">
        <v>45218</v>
      </c>
      <c r="F69" s="15">
        <v>0.33333333333333331</v>
      </c>
      <c r="G69" s="15">
        <v>0.33333333333333331</v>
      </c>
      <c r="H69" t="s">
        <v>74</v>
      </c>
      <c r="I69" t="s">
        <v>373</v>
      </c>
      <c r="J69" t="s">
        <v>219</v>
      </c>
      <c r="K69" s="21">
        <v>45317.6875</v>
      </c>
      <c r="L69">
        <f>SUMIF(C$2:C69, historico_movimientos[[#This Row],[id_producto]],D$2:D69)</f>
        <v>39</v>
      </c>
    </row>
    <row r="70" spans="1:12" x14ac:dyDescent="0.25">
      <c r="A70" t="s">
        <v>307</v>
      </c>
      <c r="B70" t="s">
        <v>227</v>
      </c>
      <c r="C70" t="s">
        <v>86</v>
      </c>
      <c r="D70">
        <v>16</v>
      </c>
      <c r="E70" s="4">
        <v>45218</v>
      </c>
      <c r="F70" s="15">
        <v>0.33333333333333331</v>
      </c>
      <c r="G70" s="15">
        <v>0.33333333333333331</v>
      </c>
      <c r="H70" t="s">
        <v>93</v>
      </c>
      <c r="I70" t="s">
        <v>373</v>
      </c>
      <c r="J70" t="s">
        <v>219</v>
      </c>
      <c r="K70" s="21">
        <v>45317.6875</v>
      </c>
      <c r="L70">
        <f>SUMIF(C$2:C70, historico_movimientos[[#This Row],[id_producto]],D$2:D70)</f>
        <v>16</v>
      </c>
    </row>
    <row r="71" spans="1:12" x14ac:dyDescent="0.25">
      <c r="A71" t="s">
        <v>308</v>
      </c>
      <c r="B71" t="s">
        <v>227</v>
      </c>
      <c r="C71" t="s">
        <v>84</v>
      </c>
      <c r="D71">
        <v>16</v>
      </c>
      <c r="E71" s="4">
        <v>45218</v>
      </c>
      <c r="F71" s="15">
        <v>0.33333333333333331</v>
      </c>
      <c r="G71" s="15">
        <v>0.33333333333333331</v>
      </c>
      <c r="H71" t="s">
        <v>91</v>
      </c>
      <c r="I71" t="s">
        <v>373</v>
      </c>
      <c r="J71" t="s">
        <v>219</v>
      </c>
      <c r="K71" s="21">
        <v>45317.6875</v>
      </c>
      <c r="L71">
        <f>SUMIF(C$2:C71, historico_movimientos[[#This Row],[id_producto]],D$2:D71)</f>
        <v>16</v>
      </c>
    </row>
    <row r="72" spans="1:12" x14ac:dyDescent="0.25">
      <c r="A72" t="s">
        <v>309</v>
      </c>
      <c r="B72" t="s">
        <v>227</v>
      </c>
      <c r="C72" t="s">
        <v>85</v>
      </c>
      <c r="D72">
        <v>39</v>
      </c>
      <c r="E72" s="4">
        <v>45218</v>
      </c>
      <c r="F72" s="15">
        <v>0.33333333333333331</v>
      </c>
      <c r="G72" s="15">
        <v>0.33333333333333331</v>
      </c>
      <c r="H72" t="s">
        <v>92</v>
      </c>
      <c r="I72" t="s">
        <v>373</v>
      </c>
      <c r="J72" t="s">
        <v>219</v>
      </c>
      <c r="K72" s="21">
        <v>45317.6875</v>
      </c>
      <c r="L72">
        <f>SUMIF(C$2:C72, historico_movimientos[[#This Row],[id_producto]],D$2:D72)</f>
        <v>39</v>
      </c>
    </row>
    <row r="73" spans="1:12" x14ac:dyDescent="0.25">
      <c r="A73" t="s">
        <v>310</v>
      </c>
      <c r="B73" t="s">
        <v>227</v>
      </c>
      <c r="C73" t="s">
        <v>98</v>
      </c>
      <c r="D73">
        <v>17</v>
      </c>
      <c r="E73" s="4">
        <v>45218</v>
      </c>
      <c r="F73" s="15">
        <v>0.33333333333333331</v>
      </c>
      <c r="G73" s="15">
        <v>0.33333333333333331</v>
      </c>
      <c r="H73" t="s">
        <v>77</v>
      </c>
      <c r="I73" t="s">
        <v>373</v>
      </c>
      <c r="J73" t="s">
        <v>219</v>
      </c>
      <c r="K73" s="21">
        <v>45317.6875</v>
      </c>
      <c r="L73">
        <f>SUMIF(C$2:C73, historico_movimientos[[#This Row],[id_producto]],D$2:D73)</f>
        <v>17</v>
      </c>
    </row>
    <row r="74" spans="1:12" x14ac:dyDescent="0.25">
      <c r="A74" t="s">
        <v>311</v>
      </c>
      <c r="B74" t="s">
        <v>227</v>
      </c>
      <c r="C74" t="s">
        <v>109</v>
      </c>
      <c r="D74">
        <v>73</v>
      </c>
      <c r="E74" s="4">
        <v>45218</v>
      </c>
      <c r="F74" s="15">
        <v>0.33333333333333331</v>
      </c>
      <c r="G74" s="15">
        <v>0.33333333333333331</v>
      </c>
      <c r="H74" t="s">
        <v>105</v>
      </c>
      <c r="I74" t="s">
        <v>373</v>
      </c>
      <c r="J74" t="s">
        <v>219</v>
      </c>
      <c r="K74" s="21">
        <v>45317.6875</v>
      </c>
      <c r="L74">
        <f>SUMIF(C$2:C74, historico_movimientos[[#This Row],[id_producto]],D$2:D74)</f>
        <v>73</v>
      </c>
    </row>
    <row r="75" spans="1:12" x14ac:dyDescent="0.25">
      <c r="A75" t="s">
        <v>312</v>
      </c>
      <c r="B75" t="s">
        <v>227</v>
      </c>
      <c r="C75" t="s">
        <v>110</v>
      </c>
      <c r="D75">
        <v>36</v>
      </c>
      <c r="E75" s="4">
        <v>45218</v>
      </c>
      <c r="F75" s="15">
        <v>0.33333333333333331</v>
      </c>
      <c r="G75" s="15">
        <v>0.33333333333333331</v>
      </c>
      <c r="H75" t="s">
        <v>106</v>
      </c>
      <c r="I75" t="s">
        <v>373</v>
      </c>
      <c r="J75" t="s">
        <v>219</v>
      </c>
      <c r="K75" s="21">
        <v>45317.6875</v>
      </c>
      <c r="L75">
        <f>SUMIF(C$2:C75, historico_movimientos[[#This Row],[id_producto]],D$2:D75)</f>
        <v>36</v>
      </c>
    </row>
    <row r="76" spans="1:12" x14ac:dyDescent="0.25">
      <c r="A76" t="s">
        <v>313</v>
      </c>
      <c r="B76" t="s">
        <v>227</v>
      </c>
      <c r="C76" t="s">
        <v>108</v>
      </c>
      <c r="D76">
        <v>67</v>
      </c>
      <c r="E76" s="4">
        <v>45218</v>
      </c>
      <c r="F76" s="15">
        <v>0.33333333333333331</v>
      </c>
      <c r="G76" s="15">
        <v>0.33333333333333331</v>
      </c>
      <c r="H76" t="s">
        <v>104</v>
      </c>
      <c r="I76" t="s">
        <v>373</v>
      </c>
      <c r="J76" t="s">
        <v>219</v>
      </c>
      <c r="K76" s="21">
        <v>45317.6875</v>
      </c>
      <c r="L76">
        <f>SUMIF(C$2:C76, historico_movimientos[[#This Row],[id_producto]],D$2:D76)</f>
        <v>67</v>
      </c>
    </row>
    <row r="77" spans="1:12" x14ac:dyDescent="0.25">
      <c r="A77" t="s">
        <v>314</v>
      </c>
      <c r="B77" t="s">
        <v>227</v>
      </c>
      <c r="C77" t="s">
        <v>99</v>
      </c>
      <c r="D77">
        <v>23</v>
      </c>
      <c r="E77" s="4">
        <v>45218</v>
      </c>
      <c r="F77" s="15">
        <v>0.33333333333333331</v>
      </c>
      <c r="G77" s="15">
        <v>0.33333333333333331</v>
      </c>
      <c r="H77" t="s">
        <v>78</v>
      </c>
      <c r="I77" t="s">
        <v>373</v>
      </c>
      <c r="J77" t="s">
        <v>219</v>
      </c>
      <c r="K77" s="21">
        <v>45317.6875</v>
      </c>
      <c r="L77">
        <f>SUMIF(C$2:C77, historico_movimientos[[#This Row],[id_producto]],D$2:D77)</f>
        <v>23</v>
      </c>
    </row>
    <row r="78" spans="1:12" x14ac:dyDescent="0.25">
      <c r="A78" t="s">
        <v>315</v>
      </c>
      <c r="B78" t="s">
        <v>227</v>
      </c>
      <c r="C78" t="s">
        <v>102</v>
      </c>
      <c r="D78">
        <v>24</v>
      </c>
      <c r="E78" s="4">
        <v>45218</v>
      </c>
      <c r="F78" s="15">
        <v>0.33333333333333331</v>
      </c>
      <c r="G78" s="15">
        <v>0.33333333333333331</v>
      </c>
      <c r="H78" t="s">
        <v>103</v>
      </c>
      <c r="I78" t="s">
        <v>373</v>
      </c>
      <c r="J78" t="s">
        <v>219</v>
      </c>
      <c r="K78" s="21">
        <v>45317.6875</v>
      </c>
      <c r="L78">
        <f>SUMIF(C$2:C78, historico_movimientos[[#This Row],[id_producto]],D$2:D78)</f>
        <v>24</v>
      </c>
    </row>
    <row r="79" spans="1:12" x14ac:dyDescent="0.25">
      <c r="A79" t="s">
        <v>316</v>
      </c>
      <c r="B79" t="s">
        <v>227</v>
      </c>
      <c r="C79" t="s">
        <v>64</v>
      </c>
      <c r="D79">
        <v>32</v>
      </c>
      <c r="E79" s="4">
        <v>45218</v>
      </c>
      <c r="F79" s="15">
        <v>0.33333333333333331</v>
      </c>
      <c r="G79" s="15">
        <v>0.33333333333333331</v>
      </c>
      <c r="H79" t="s">
        <v>71</v>
      </c>
      <c r="I79" t="s">
        <v>373</v>
      </c>
      <c r="J79" t="s">
        <v>219</v>
      </c>
      <c r="K79" s="21">
        <v>45317.6875</v>
      </c>
      <c r="L79">
        <f>SUMIF(C$2:C79, historico_movimientos[[#This Row],[id_producto]],D$2:D79)</f>
        <v>32</v>
      </c>
    </row>
    <row r="80" spans="1:12" x14ac:dyDescent="0.25">
      <c r="A80" t="s">
        <v>317</v>
      </c>
      <c r="B80" t="s">
        <v>227</v>
      </c>
      <c r="C80" t="s">
        <v>65</v>
      </c>
      <c r="D80">
        <v>30</v>
      </c>
      <c r="E80" s="4">
        <v>45218</v>
      </c>
      <c r="F80" s="15">
        <v>0.33333333333333331</v>
      </c>
      <c r="G80" s="15">
        <v>0.33333333333333331</v>
      </c>
      <c r="H80" t="s">
        <v>72</v>
      </c>
      <c r="I80" t="s">
        <v>373</v>
      </c>
      <c r="J80" t="s">
        <v>219</v>
      </c>
      <c r="K80" s="21">
        <v>45317.6875</v>
      </c>
      <c r="L80">
        <f>SUMIF(C$2:C80, historico_movimientos[[#This Row],[id_producto]],D$2:D80)</f>
        <v>30</v>
      </c>
    </row>
    <row r="81" spans="1:13" x14ac:dyDescent="0.25">
      <c r="A81" t="s">
        <v>318</v>
      </c>
      <c r="B81" t="s">
        <v>227</v>
      </c>
      <c r="C81" t="s">
        <v>63</v>
      </c>
      <c r="D81">
        <v>26</v>
      </c>
      <c r="E81" s="4">
        <v>45218</v>
      </c>
      <c r="F81" s="15">
        <v>0.33333333333333331</v>
      </c>
      <c r="G81" s="15">
        <v>0.33333333333333331</v>
      </c>
      <c r="H81" t="s">
        <v>70</v>
      </c>
      <c r="I81" t="s">
        <v>373</v>
      </c>
      <c r="J81" t="s">
        <v>219</v>
      </c>
      <c r="K81" s="21">
        <v>45317.6875</v>
      </c>
      <c r="L81">
        <f>SUMIF(C$2:C81, historico_movimientos[[#This Row],[id_producto]],D$2:D81)</f>
        <v>26</v>
      </c>
    </row>
    <row r="82" spans="1:13" x14ac:dyDescent="0.25">
      <c r="A82" t="s">
        <v>319</v>
      </c>
      <c r="B82" t="s">
        <v>227</v>
      </c>
      <c r="C82" t="s">
        <v>50</v>
      </c>
      <c r="D82">
        <v>13</v>
      </c>
      <c r="E82" s="4">
        <v>45218</v>
      </c>
      <c r="F82" s="15">
        <v>0.33333333333333331</v>
      </c>
      <c r="G82" s="15">
        <v>0.33333333333333331</v>
      </c>
      <c r="H82" t="s">
        <v>58</v>
      </c>
      <c r="I82" t="s">
        <v>373</v>
      </c>
      <c r="J82" t="s">
        <v>219</v>
      </c>
      <c r="K82" s="21">
        <v>45317.6875</v>
      </c>
      <c r="L82">
        <f>SUMIF(C$2:C82, historico_movimientos[[#This Row],[id_producto]],D$2:D82)</f>
        <v>13</v>
      </c>
    </row>
    <row r="83" spans="1:13" x14ac:dyDescent="0.25">
      <c r="A83" t="s">
        <v>320</v>
      </c>
      <c r="B83" t="s">
        <v>227</v>
      </c>
      <c r="C83" t="s">
        <v>62</v>
      </c>
      <c r="D83">
        <v>126</v>
      </c>
      <c r="E83" s="4">
        <v>45218</v>
      </c>
      <c r="F83" s="15">
        <v>0.33333333333333331</v>
      </c>
      <c r="G83" s="15">
        <v>0.33333333333333331</v>
      </c>
      <c r="H83" t="s">
        <v>69</v>
      </c>
      <c r="I83" t="s">
        <v>373</v>
      </c>
      <c r="J83" t="s">
        <v>219</v>
      </c>
      <c r="K83" s="21">
        <v>45317.6875</v>
      </c>
      <c r="L83">
        <f>SUMIF(C$2:C83, historico_movimientos[[#This Row],[id_producto]],D$2:D83)</f>
        <v>126</v>
      </c>
    </row>
    <row r="84" spans="1:13" x14ac:dyDescent="0.25">
      <c r="A84" t="s">
        <v>321</v>
      </c>
      <c r="B84" t="s">
        <v>227</v>
      </c>
      <c r="C84" t="s">
        <v>66</v>
      </c>
      <c r="D84">
        <v>28</v>
      </c>
      <c r="E84" s="4">
        <v>45218</v>
      </c>
      <c r="F84" s="15">
        <v>0.33333333333333331</v>
      </c>
      <c r="G84" s="15">
        <v>0.33333333333333331</v>
      </c>
      <c r="H84" t="s">
        <v>76</v>
      </c>
      <c r="I84" t="s">
        <v>373</v>
      </c>
      <c r="J84" t="s">
        <v>219</v>
      </c>
      <c r="K84" s="21">
        <v>45317.6875</v>
      </c>
      <c r="L84">
        <f>SUMIF(C$2:C84, historico_movimientos[[#This Row],[id_producto]],D$2:D84)</f>
        <v>28</v>
      </c>
    </row>
    <row r="85" spans="1:13" x14ac:dyDescent="0.25">
      <c r="A85" t="s">
        <v>322</v>
      </c>
      <c r="B85" t="s">
        <v>227</v>
      </c>
      <c r="C85" t="s">
        <v>82</v>
      </c>
      <c r="D85">
        <v>16</v>
      </c>
      <c r="E85" s="4">
        <v>45218</v>
      </c>
      <c r="F85" s="15">
        <v>0.33333333333333331</v>
      </c>
      <c r="G85" s="15">
        <v>0.33333333333333331</v>
      </c>
      <c r="H85" t="s">
        <v>89</v>
      </c>
      <c r="I85" t="s">
        <v>373</v>
      </c>
      <c r="J85" t="s">
        <v>219</v>
      </c>
      <c r="K85" s="21">
        <v>45317.6875</v>
      </c>
      <c r="L85">
        <f>SUMIF(C$2:C85, historico_movimientos[[#This Row],[id_producto]],D$2:D85)</f>
        <v>16</v>
      </c>
    </row>
    <row r="86" spans="1:13" x14ac:dyDescent="0.25">
      <c r="A86" t="s">
        <v>323</v>
      </c>
      <c r="B86" t="s">
        <v>227</v>
      </c>
      <c r="C86" t="s">
        <v>83</v>
      </c>
      <c r="D86">
        <v>39</v>
      </c>
      <c r="E86" s="4">
        <v>45218</v>
      </c>
      <c r="F86" s="15">
        <v>0.33333333333333331</v>
      </c>
      <c r="G86" s="15">
        <v>0.33333333333333331</v>
      </c>
      <c r="H86" t="s">
        <v>90</v>
      </c>
      <c r="I86" t="s">
        <v>373</v>
      </c>
      <c r="J86" t="s">
        <v>219</v>
      </c>
      <c r="K86" s="21">
        <v>45317.6875</v>
      </c>
      <c r="L86">
        <f>SUMIF(C$2:C86, historico_movimientos[[#This Row],[id_producto]],D$2:D86)</f>
        <v>39</v>
      </c>
    </row>
    <row r="87" spans="1:13" x14ac:dyDescent="0.25">
      <c r="A87" t="s">
        <v>324</v>
      </c>
      <c r="B87" t="s">
        <v>227</v>
      </c>
      <c r="C87" t="s">
        <v>81</v>
      </c>
      <c r="D87">
        <v>127</v>
      </c>
      <c r="E87" s="4">
        <v>45218</v>
      </c>
      <c r="F87" s="15">
        <v>0.33333333333333331</v>
      </c>
      <c r="G87" s="15">
        <v>0.33333333333333331</v>
      </c>
      <c r="H87" t="s">
        <v>88</v>
      </c>
      <c r="I87" t="s">
        <v>373</v>
      </c>
      <c r="J87" t="s">
        <v>219</v>
      </c>
      <c r="K87" s="21">
        <v>45317.6875</v>
      </c>
      <c r="L87">
        <f>SUMIF(C$2:C87, historico_movimientos[[#This Row],[id_producto]],D$2:D87)</f>
        <v>127</v>
      </c>
    </row>
    <row r="88" spans="1:13" x14ac:dyDescent="0.25">
      <c r="A88" t="s">
        <v>325</v>
      </c>
      <c r="B88" t="s">
        <v>227</v>
      </c>
      <c r="C88" t="s">
        <v>67</v>
      </c>
      <c r="D88">
        <v>19</v>
      </c>
      <c r="E88" s="4">
        <v>45218</v>
      </c>
      <c r="F88" s="15">
        <v>0.33333333333333331</v>
      </c>
      <c r="G88" s="15">
        <v>0.33333333333333331</v>
      </c>
      <c r="H88" t="s">
        <v>75</v>
      </c>
      <c r="I88" t="s">
        <v>373</v>
      </c>
      <c r="J88" t="s">
        <v>219</v>
      </c>
      <c r="K88" s="21">
        <v>45317.6875</v>
      </c>
      <c r="L88">
        <f>SUMIF(C$2:C88, historico_movimientos[[#This Row],[id_producto]],D$2:D88)</f>
        <v>19</v>
      </c>
    </row>
    <row r="89" spans="1:13" x14ac:dyDescent="0.25">
      <c r="A89" t="s">
        <v>326</v>
      </c>
      <c r="B89" t="s">
        <v>227</v>
      </c>
      <c r="C89" t="s">
        <v>68</v>
      </c>
      <c r="D89">
        <v>4</v>
      </c>
      <c r="E89" s="4">
        <v>45218</v>
      </c>
      <c r="F89" s="15">
        <v>0.33333333333333331</v>
      </c>
      <c r="G89" s="15">
        <v>0.33333333333333331</v>
      </c>
      <c r="H89" t="s">
        <v>79</v>
      </c>
      <c r="I89" t="s">
        <v>373</v>
      </c>
      <c r="J89" t="s">
        <v>219</v>
      </c>
      <c r="K89" s="21">
        <v>45317.6875</v>
      </c>
      <c r="L89">
        <f>SUMIF(C$2:C89, historico_movimientos[[#This Row],[id_producto]],D$2:D89)</f>
        <v>4</v>
      </c>
    </row>
    <row r="90" spans="1:13" x14ac:dyDescent="0.25">
      <c r="A90" t="s">
        <v>234</v>
      </c>
      <c r="B90" t="s">
        <v>228</v>
      </c>
      <c r="C90" t="s">
        <v>9</v>
      </c>
      <c r="D90">
        <v>-2</v>
      </c>
      <c r="E90" s="4">
        <v>45219</v>
      </c>
      <c r="F90" s="15">
        <v>0.33333333333333331</v>
      </c>
      <c r="G90" s="15">
        <v>0.33333333333333331</v>
      </c>
      <c r="H90" t="s">
        <v>7</v>
      </c>
      <c r="I90" t="s">
        <v>373</v>
      </c>
      <c r="J90" t="s">
        <v>225</v>
      </c>
      <c r="K90" s="21">
        <v>45317.693055555559</v>
      </c>
      <c r="L90">
        <f>SUMIF(C$2:C90, historico_movimientos[[#This Row],[id_producto]],D$2:D90)</f>
        <v>97</v>
      </c>
    </row>
    <row r="91" spans="1:13" x14ac:dyDescent="0.25">
      <c r="A91" t="s">
        <v>235</v>
      </c>
      <c r="B91" t="s">
        <v>228</v>
      </c>
      <c r="C91" t="s">
        <v>9</v>
      </c>
      <c r="D91">
        <v>-1</v>
      </c>
      <c r="E91" s="4">
        <v>45224</v>
      </c>
      <c r="F91" s="15">
        <v>0.33333333333333331</v>
      </c>
      <c r="G91" s="15">
        <v>0.33333333333333331</v>
      </c>
      <c r="H91" t="s">
        <v>7</v>
      </c>
      <c r="I91" t="s">
        <v>373</v>
      </c>
      <c r="J91" t="s">
        <v>225</v>
      </c>
      <c r="K91" s="21">
        <v>45317.693055555559</v>
      </c>
      <c r="L91">
        <f>SUMIF(C$2:C91, historico_movimientos[[#This Row],[id_producto]],D$2:D91)</f>
        <v>96</v>
      </c>
      <c r="M91" s="4"/>
    </row>
    <row r="92" spans="1:13" x14ac:dyDescent="0.25">
      <c r="A92" t="s">
        <v>236</v>
      </c>
      <c r="B92" t="s">
        <v>228</v>
      </c>
      <c r="C92" t="s">
        <v>9</v>
      </c>
      <c r="D92">
        <v>-1</v>
      </c>
      <c r="E92" s="4">
        <v>45224</v>
      </c>
      <c r="F92" s="15">
        <v>0.33333333333333331</v>
      </c>
      <c r="G92" s="15">
        <v>0.33333333333333331</v>
      </c>
      <c r="H92" t="s">
        <v>7</v>
      </c>
      <c r="I92" t="s">
        <v>373</v>
      </c>
      <c r="J92" t="s">
        <v>225</v>
      </c>
      <c r="K92" s="21">
        <v>45317.693055555559</v>
      </c>
      <c r="L92">
        <f>SUMIF(C$2:C92, historico_movimientos[[#This Row],[id_producto]],D$2:D92)</f>
        <v>95</v>
      </c>
    </row>
    <row r="93" spans="1:13" x14ac:dyDescent="0.25">
      <c r="A93" t="s">
        <v>327</v>
      </c>
      <c r="B93" t="s">
        <v>228</v>
      </c>
      <c r="C93" t="s">
        <v>11</v>
      </c>
      <c r="D93">
        <v>-31</v>
      </c>
      <c r="E93" s="4">
        <v>45255</v>
      </c>
      <c r="F93" s="15">
        <v>0.33333333333333331</v>
      </c>
      <c r="G93" s="15">
        <v>0.33333333333333331</v>
      </c>
      <c r="H93" t="s">
        <v>10</v>
      </c>
      <c r="I93" t="s">
        <v>373</v>
      </c>
      <c r="J93" t="s">
        <v>225</v>
      </c>
      <c r="K93" s="21">
        <v>45317.698611111111</v>
      </c>
      <c r="L93">
        <f>SUMIF(C$2:C93, historico_movimientos[[#This Row],[id_producto]],D$2:D93)</f>
        <v>29</v>
      </c>
    </row>
    <row r="94" spans="1:13" x14ac:dyDescent="0.25">
      <c r="A94" t="s">
        <v>237</v>
      </c>
      <c r="B94" t="s">
        <v>228</v>
      </c>
      <c r="C94" t="s">
        <v>9</v>
      </c>
      <c r="D94">
        <v>-7</v>
      </c>
      <c r="E94" s="4">
        <v>45255</v>
      </c>
      <c r="F94" s="15">
        <v>0.33333333333333331</v>
      </c>
      <c r="G94" s="15">
        <v>0.33333333333333331</v>
      </c>
      <c r="H94" t="s">
        <v>7</v>
      </c>
      <c r="I94" t="s">
        <v>373</v>
      </c>
      <c r="J94" t="s">
        <v>225</v>
      </c>
      <c r="K94" s="21">
        <v>45317.693055555559</v>
      </c>
      <c r="L94">
        <f>SUMIF(C$2:C94, historico_movimientos[[#This Row],[id_producto]],D$2:D94)</f>
        <v>88</v>
      </c>
    </row>
    <row r="95" spans="1:13" x14ac:dyDescent="0.25">
      <c r="A95" t="s">
        <v>238</v>
      </c>
      <c r="B95" t="s">
        <v>228</v>
      </c>
      <c r="C95" t="s">
        <v>11</v>
      </c>
      <c r="D95">
        <v>-9</v>
      </c>
      <c r="E95" s="4">
        <v>45302</v>
      </c>
      <c r="F95" s="15">
        <v>0.33333333333333331</v>
      </c>
      <c r="G95" s="15">
        <v>0.33333333333333331</v>
      </c>
      <c r="H95" t="s">
        <v>10</v>
      </c>
      <c r="I95" t="s">
        <v>373</v>
      </c>
      <c r="J95" t="s">
        <v>225</v>
      </c>
      <c r="K95" s="21">
        <v>45317.698611111111</v>
      </c>
      <c r="L95">
        <f>SUMIF(C$2:C95, historico_movimientos[[#This Row],[id_producto]],D$2:D95)</f>
        <v>20</v>
      </c>
    </row>
    <row r="96" spans="1:13" x14ac:dyDescent="0.25">
      <c r="A96" t="s">
        <v>328</v>
      </c>
      <c r="B96" t="s">
        <v>228</v>
      </c>
      <c r="C96" t="s">
        <v>9</v>
      </c>
      <c r="D96">
        <v>-44</v>
      </c>
      <c r="E96" s="4">
        <v>45302</v>
      </c>
      <c r="F96" s="15">
        <v>0.33333333333333331</v>
      </c>
      <c r="G96" s="15">
        <v>0.33333333333333331</v>
      </c>
      <c r="H96" t="s">
        <v>7</v>
      </c>
      <c r="I96" t="s">
        <v>373</v>
      </c>
      <c r="J96" t="s">
        <v>225</v>
      </c>
      <c r="K96" s="21">
        <v>45317.693055555559</v>
      </c>
      <c r="L96">
        <f>SUMIF(C$2:C96, historico_movimientos[[#This Row],[id_producto]],D$2:D96)</f>
        <v>44</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J10" sqref="J10"/>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33" t="s">
        <v>6</v>
      </c>
      <c r="N1" s="33"/>
      <c r="P1" s="33" t="s">
        <v>112</v>
      </c>
      <c r="Q1" s="33"/>
      <c r="S1" s="33" t="s">
        <v>216</v>
      </c>
      <c r="T1" s="33"/>
      <c r="V1" s="33" t="s">
        <v>128</v>
      </c>
      <c r="W1" s="33"/>
      <c r="Y1" s="33" t="s">
        <v>133</v>
      </c>
      <c r="Z1" s="33"/>
      <c r="AB1" s="33" t="s">
        <v>149</v>
      </c>
      <c r="AC1" s="33"/>
      <c r="AE1" s="33" t="s">
        <v>184</v>
      </c>
      <c r="AF1" s="33"/>
      <c r="AH1" s="33" t="s">
        <v>217</v>
      </c>
      <c r="AI1" s="33"/>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582FA9D0-9332-4A37-9E84-A35E712BF43C}">
  <ds:schemaRefs/>
</ds:datastoreItem>
</file>

<file path=customXml/itemProps2.xml><?xml version="1.0" encoding="utf-8"?>
<ds:datastoreItem xmlns:ds="http://schemas.openxmlformats.org/officeDocument/2006/customXml" ds:itemID="{DC283ACB-1CBB-4304-B960-32ECE6CA60F1}">
  <ds:schemaRefs/>
</ds:datastoreItem>
</file>

<file path=customXml/itemProps3.xml><?xml version="1.0" encoding="utf-8"?>
<ds:datastoreItem xmlns:ds="http://schemas.openxmlformats.org/officeDocument/2006/customXml" ds:itemID="{8096DBEA-F386-4689-BB6F-7799DFAC7037}">
  <ds:schemaRefs/>
</ds:datastoreItem>
</file>

<file path=customXml/itemProps4.xml><?xml version="1.0" encoding="utf-8"?>
<ds:datastoreItem xmlns:ds="http://schemas.openxmlformats.org/officeDocument/2006/customXml" ds:itemID="{5C34264A-D6E0-40B8-9AAB-19475C5EE0CD}">
  <ds:schemaRefs/>
</ds:datastoreItem>
</file>

<file path=customXml/itemProps5.xml><?xml version="1.0" encoding="utf-8"?>
<ds:datastoreItem xmlns:ds="http://schemas.openxmlformats.org/officeDocument/2006/customXml" ds:itemID="{44C07484-74A7-442E-A509-C2CE2FD92F36}">
  <ds:schemaRefs/>
</ds:datastoreItem>
</file>

<file path=customXml/itemProps6.xml><?xml version="1.0" encoding="utf-8"?>
<ds:datastoreItem xmlns:ds="http://schemas.openxmlformats.org/officeDocument/2006/customXml" ds:itemID="{533A0152-3DF0-477C-9FA4-C4AEC425FE92}">
  <ds:schemaRefs/>
</ds:datastoreItem>
</file>

<file path=customXml/itemProps7.xml><?xml version="1.0" encoding="utf-8"?>
<ds:datastoreItem xmlns:ds="http://schemas.openxmlformats.org/officeDocument/2006/customXml" ds:itemID="{5CC9BBE6-07B0-45B9-B752-ACAEDAE7A6DB}">
  <ds:schemaRefs/>
</ds:datastoreItem>
</file>

<file path=customXml/itemProps8.xml><?xml version="1.0" encoding="utf-8"?>
<ds:datastoreItem xmlns:ds="http://schemas.openxmlformats.org/officeDocument/2006/customXml" ds:itemID="{9FC10B73-B46C-4AA7-8306-07ABCDEC8268}">
  <ds:schemaRefs/>
</ds:datastoreItem>
</file>

<file path=customXml/itemProps9.xml><?xml version="1.0" encoding="utf-8"?>
<ds:datastoreItem xmlns:ds="http://schemas.openxmlformats.org/officeDocument/2006/customXml" ds:itemID="{C281B928-44E3-4E80-8E09-9B3C11C0A11F}">
  <ds:schemaRefs/>
</ds:datastoreItem>
</file>

<file path=customXml/itemProps10.xml><?xml version="1.0" encoding="utf-8"?>
<ds:datastoreItem xmlns:ds="http://schemas.openxmlformats.org/officeDocument/2006/customXml" ds:itemID="{F25A31FD-3509-4545-B0B2-9780F6F7AE74}">
  <ds:schemaRefs/>
</ds:datastoreItem>
</file>

<file path=customXml/itemProps11.xml><?xml version="1.0" encoding="utf-8"?>
<ds:datastoreItem xmlns:ds="http://schemas.openxmlformats.org/officeDocument/2006/customXml" ds:itemID="{9395B1BE-76F7-4018-A7AA-D087C139C5B7}">
  <ds:schemaRefs/>
</ds:datastoreItem>
</file>

<file path=customXml/itemProps12.xml><?xml version="1.0" encoding="utf-8"?>
<ds:datastoreItem xmlns:ds="http://schemas.openxmlformats.org/officeDocument/2006/customXml" ds:itemID="{66692D95-B972-4724-827B-AD9C11980178}">
  <ds:schemaRefs/>
</ds:datastoreItem>
</file>

<file path=customXml/itemProps13.xml><?xml version="1.0" encoding="utf-8"?>
<ds:datastoreItem xmlns:ds="http://schemas.openxmlformats.org/officeDocument/2006/customXml" ds:itemID="{78B00BF0-5989-45D6-B7F8-C78CF6063AEA}">
  <ds:schemaRefs/>
</ds:datastoreItem>
</file>

<file path=customXml/itemProps14.xml><?xml version="1.0" encoding="utf-8"?>
<ds:datastoreItem xmlns:ds="http://schemas.openxmlformats.org/officeDocument/2006/customXml" ds:itemID="{D2976F48-E4D4-49C9-A1E3-F4D769763B9D}">
  <ds:schemaRefs/>
</ds:datastoreItem>
</file>

<file path=customXml/itemProps15.xml><?xml version="1.0" encoding="utf-8"?>
<ds:datastoreItem xmlns:ds="http://schemas.openxmlformats.org/officeDocument/2006/customXml" ds:itemID="{580875E7-EB0B-4761-A6FD-E885AD06C0FA}">
  <ds:schemaRefs/>
</ds:datastoreItem>
</file>

<file path=customXml/itemProps16.xml><?xml version="1.0" encoding="utf-8"?>
<ds:datastoreItem xmlns:ds="http://schemas.openxmlformats.org/officeDocument/2006/customXml" ds:itemID="{F325A9A2-3625-4FCA-8EB2-1C2511E44325}">
  <ds:schemaRefs/>
</ds:datastoreItem>
</file>

<file path=customXml/itemProps17.xml><?xml version="1.0" encoding="utf-8"?>
<ds:datastoreItem xmlns:ds="http://schemas.openxmlformats.org/officeDocument/2006/customXml" ds:itemID="{59622D94-C503-45A4-8D8B-EF6AAFD3C452}">
  <ds:schemaRefs>
    <ds:schemaRef ds:uri="http://schemas.microsoft.com/DataMashup"/>
  </ds:schemaRefs>
</ds:datastoreItem>
</file>

<file path=customXml/itemProps18.xml><?xml version="1.0" encoding="utf-8"?>
<ds:datastoreItem xmlns:ds="http://schemas.openxmlformats.org/officeDocument/2006/customXml" ds:itemID="{0FDDA768-5593-426C-971B-C07B18052E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METRICAS DIARIO</vt:lpstr>
      <vt:lpstr>Entradas_INVENTARIO</vt:lpstr>
      <vt:lpstr>FACTURA</vt:lpstr>
      <vt:lpstr>INVENTARIO ACTUAL</vt:lpstr>
      <vt:lpstr>Entradas_hist</vt:lpstr>
      <vt:lpstr>Salidas_hist</vt:lpstr>
      <vt:lpstr>historico_movimientos</vt:lpstr>
      <vt:lpstr>DESCRIPCION PRODUCTOS</vt:lpstr>
      <vt:lpstr>categoria_list</vt:lpstr>
      <vt:lpstr>factura_cliente</vt:lpstr>
      <vt:lpstr>factura_date</vt:lpstr>
      <vt:lpstr>factura_id</vt:lpstr>
      <vt:lpstr>factura_ultima</vt:lpstr>
      <vt:lpstr>fecha_inicio</vt:lpstr>
      <vt:lpstr>id_product</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2024-02-07T18:28:54Z</cp:lastPrinted>
  <dcterms:created xsi:type="dcterms:W3CDTF">2015-06-05T18:17:20Z</dcterms:created>
  <dcterms:modified xsi:type="dcterms:W3CDTF">2024-02-07T18:30:46Z</dcterms:modified>
</cp:coreProperties>
</file>