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drawings/drawing4.xml" ContentType="application/vnd.openxmlformats-officedocument.drawing+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comments2.xml" ContentType="application/vnd.openxmlformats-officedocument.spreadsheetml.comments+xml"/>
  <Override PartName="/xl/tables/table5.xml" ContentType="application/vnd.openxmlformats-officedocument.spreadsheetml.table+xml"/>
  <Override PartName="/xl/comments3.xml" ContentType="application/vnd.openxmlformats-officedocument.spreadsheetml.comments+xml"/>
  <Override PartName="/xl/tables/table6.xml" ContentType="application/vnd.openxmlformats-officedocument.spreadsheetml.table+xml"/>
  <Override PartName="/xl/queryTables/queryTable1.xml" ContentType="application/vnd.openxmlformats-officedocument.spreadsheetml.query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D:\Projects\Plastisol\"/>
    </mc:Choice>
  </mc:AlternateContent>
  <xr:revisionPtr revIDLastSave="0" documentId="13_ncr:1_{1C7573C7-5EDA-4435-AB85-C018C484372F}" xr6:coauthVersionLast="47" xr6:coauthVersionMax="47" xr10:uidLastSave="{00000000-0000-0000-0000-000000000000}"/>
  <bookViews>
    <workbookView xWindow="-120" yWindow="-120" windowWidth="29040" windowHeight="15840" xr2:uid="{00000000-000D-0000-FFFF-FFFF00000000}"/>
  </bookViews>
  <sheets>
    <sheet name="FACTURA" sheetId="11" r:id="rId1"/>
    <sheet name="Ticket" sheetId="14" r:id="rId2"/>
    <sheet name="CLIENTES" sheetId="16" r:id="rId3"/>
    <sheet name="METRICAS DIARIO" sheetId="7" r:id="rId4"/>
    <sheet name="VENTAS DIARIO" sheetId="12" r:id="rId5"/>
    <sheet name="Entradas_INVENTARIO" sheetId="2" r:id="rId6"/>
    <sheet name="Entradas_hist" sheetId="9" r:id="rId7"/>
    <sheet name="Salidas_hist" sheetId="4" r:id="rId8"/>
    <sheet name="historico_movimientos" sheetId="10" r:id="rId9"/>
    <sheet name="INVENTARIO ACTUAL" sheetId="1" r:id="rId10"/>
    <sheet name="DESCRIPCION PRODUCTOS" sheetId="8" r:id="rId11"/>
  </sheets>
  <definedNames>
    <definedName name="_xlcn.WorksheetConnection_Inventory.xlsmhistorico_movimientos1" hidden="1">historico_movimientos[]</definedName>
    <definedName name="_xlcn.WorksheetConnection_Inventory.xlsminventario_actual1" hidden="1">inventario_actual[]</definedName>
    <definedName name="_xlcn.WorksheetConnection_Inventory.xlsmsalidas_hist1" hidden="1">salidas_hist[]</definedName>
    <definedName name="categoria_list" localSheetId="4">categoria[categoria]</definedName>
    <definedName name="categoria_list">categoria[categoria]</definedName>
    <definedName name="cliente_id">FACTURA!$C$10</definedName>
    <definedName name="cliente_nombre">FACTURA!$C$11</definedName>
    <definedName name="ExternalData_1" localSheetId="8" hidden="1">historico_movimientos!$A$1:$K$104</definedName>
    <definedName name="ExternalData_1" localSheetId="9" hidden="1">'INVENTARIO ACTUAL'!$A$1:$D$90</definedName>
    <definedName name="F_ciudad">FACTURA!$C$14</definedName>
    <definedName name="F_direccion">FACTURA!$C$13</definedName>
    <definedName name="F_email">FACTURA!$C$15</definedName>
    <definedName name="F_fechavcto">FACTURA!$H$12</definedName>
    <definedName name="F_formapago">FACTURA!$H$14</definedName>
    <definedName name="F_hora">FACTURA!$H$13</definedName>
    <definedName name="F_iva">FACTURA!$H$45</definedName>
    <definedName name="F_mediopago">FACTURA!$H$15</definedName>
    <definedName name="F_subtotal">FACTURA!$H$43</definedName>
    <definedName name="F_telefono">FACTURA!$C$12</definedName>
    <definedName name="F_total">FACTURA!$H$47</definedName>
    <definedName name="factura_cliente">FACTURA!$C$10</definedName>
    <definedName name="factura_date">FACTURA!$H$11</definedName>
    <definedName name="factura_id">FACTURA!$H$10</definedName>
    <definedName name="factura_ultima">Salidas_hist!$Q$1</definedName>
    <definedName name="fecha_inicio">'DESCRIPCION PRODUCTOS'!$E$2</definedName>
    <definedName name="formas_pago">formas_pago_tb[FORMAS DE PAGO]</definedName>
    <definedName name="ID_Cliente">clientes_tb[NIT/C.C]</definedName>
    <definedName name="id_product" localSheetId="4">total_leyenda[ID]</definedName>
    <definedName name="id_product">total_leyenda[ID]</definedName>
    <definedName name="iva">FACTURA!$H$45</definedName>
    <definedName name="medios_pago">medios_pago_tb[MEDIOS DE PAGO]</definedName>
    <definedName name="_xlnm.Print_Area" localSheetId="0">FACTURA!$A$2:$I$63</definedName>
    <definedName name="_xlnm.Print_Area" localSheetId="1">Ticket!$B$3:$G$54</definedName>
    <definedName name="Slicer_categoria">#N/A</definedName>
    <definedName name="Slicer_CATEGORIA1">#N/A</definedName>
    <definedName name="Slicer_fecha">#N/A</definedName>
    <definedName name="Slicer_FECHA1">#N/A</definedName>
    <definedName name="Slicer_id_producto">#N/A</definedName>
    <definedName name="subtotal">FACTURA!$H$43</definedName>
    <definedName name="T_cliente">Ticket!$C$22</definedName>
    <definedName name="T_dcto">Ticket!$E$41</definedName>
    <definedName name="T_email">Ticket!$C$24</definedName>
    <definedName name="T_fecha">Ticket!$C$18</definedName>
    <definedName name="T_fechavcto">Ticket!$C$20</definedName>
    <definedName name="T_formapago">Ticket!$C$26</definedName>
    <definedName name="T_hora">Ticket!$C$19</definedName>
    <definedName name="T_iva">Ticket!$E$42</definedName>
    <definedName name="T_mediopago">Ticket!$C$27</definedName>
    <definedName name="T_nfactura">Ticket!$B$16</definedName>
    <definedName name="T_nit">Ticket!$C$23</definedName>
    <definedName name="T_otroscargos">Ticket!$E$43</definedName>
    <definedName name="T_subtotal">Ticket!$E$40</definedName>
    <definedName name="T_telefono">Ticket!$C$25</definedName>
    <definedName name="T_total">Ticket!$E$44</definedName>
    <definedName name="tk_descripcion">Ticket!$B$29</definedName>
    <definedName name="tk_totaltext">Ticket!$B$37</definedName>
    <definedName name="total">FACTURA!$H$47</definedName>
  </definedNames>
  <calcPr calcId="191029"/>
  <pivotCaches>
    <pivotCache cacheId="91" r:id="rId12"/>
    <pivotCache cacheId="92" r:id="rId13"/>
    <pivotCache cacheId="93" r:id="rId14"/>
    <pivotCache cacheId="94" r:id="rId15"/>
  </pivotCaches>
  <extLst>
    <ext xmlns:x14="http://schemas.microsoft.com/office/spreadsheetml/2009/9/main" uri="{876F7934-8845-4945-9796-88D515C7AA90}">
      <x14:pivotCaches>
        <pivotCache cacheId="95" r:id="rId16"/>
        <pivotCache cacheId="96" r:id="rId17"/>
        <pivotCache cacheId="97" r:id="rId18"/>
      </x14:pivotCaches>
    </ext>
    <ext xmlns:x14="http://schemas.microsoft.com/office/spreadsheetml/2009/9/main" uri="{BBE1A952-AA13-448e-AADC-164F8A28A991}">
      <x14:slicerCaches>
        <x14:slicerCache r:id="rId19"/>
        <x14:slicerCache r:id="rId20"/>
        <x14:slicerCache r:id="rId21"/>
        <x14:slicerCache r:id="rId22"/>
        <x14:slicerCache r:id="rId2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lidas_hist" name="salidas_hist" connection="WorksheetConnection_Inventory.xlsm!salidas_hist"/>
          <x15:modelTable id="inventario_actual" name="inventario_actual" connection="WorksheetConnection_Inventory.xlsm!inventario_actual"/>
          <x15:modelTable id="historico_movimientos" name="historico_movimientos" connection="WorksheetConnection_Inventory.xlsm!historico_movimientos"/>
        </x15:modelTables>
        <x15:extLst>
          <ext xmlns:x16="http://schemas.microsoft.com/office/spreadsheetml/2014/11/main" uri="{9835A34E-60A6-4A7C-AAB8-D5F71C897F49}">
            <x16:modelTimeGroupings>
              <x16:modelTimeGrouping tableName="historico_movimientos" columnName="fecha" columnId="fecha">
                <x16:calculatedTimeColumn columnName="fecha (Year)" columnId="fecha (Year)" contentType="years" isSelected="1"/>
                <x16:calculatedTimeColumn columnName="fecha (Quarter)" columnId="fecha (Quarter)" contentType="quarters" isSelected="1"/>
                <x16:calculatedTimeColumn columnName="fecha (Month Index)" columnId="fecha (Month Index)" contentType="monthsindex" isSelected="1"/>
                <x16:calculatedTimeColumn columnName="fecha (Month)" columnId="fecha (Month)" contentType="months" isSelected="1"/>
              </x16:modelTimeGrouping>
              <x16:modelTimeGrouping tableName="salidas_hist" columnName="FECHA" columnId="FECHA">
                <x16:calculatedTimeColumn columnName="FECHA (Year)" columnId="FECHA (Year)" contentType="years" isSelected="1"/>
                <x16:calculatedTimeColumn columnName="FECHA (Month Index)" columnId="FECHA (Month Index)" contentType="monthsindex" isSelected="1"/>
                <x16:calculatedTimeColumn columnName="FECHA (Month)" columnId="FECHA (Month)" contentType="months" isSelected="1"/>
                <x16:calculatedTimeColumn columnName="FECHA (Day Index)" columnId="FECHA (Day Index)" contentType="daysindex" isSelected="1"/>
                <x16:calculatedTimeColumn columnName="FECHA (Day)" columnId="FECHA (Day)" contentType="day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3" i="11" l="1"/>
  <c r="H43" i="11" l="1"/>
  <c r="O22" i="4"/>
  <c r="O21" i="4"/>
  <c r="O20" i="4"/>
  <c r="O19" i="4"/>
  <c r="O18" i="4"/>
  <c r="O17" i="4"/>
  <c r="C15" i="11" l="1"/>
  <c r="C14" i="11"/>
  <c r="C13" i="11"/>
  <c r="C12" i="11"/>
  <c r="C11" i="11"/>
  <c r="C37" i="11"/>
  <c r="C38" i="11"/>
  <c r="C39" i="11"/>
  <c r="E37" i="11"/>
  <c r="H37" i="11" s="1"/>
  <c r="E38" i="11"/>
  <c r="H38" i="11" s="1"/>
  <c r="E39" i="11"/>
  <c r="H39" i="11" s="1"/>
  <c r="G37" i="11"/>
  <c r="G38" i="11"/>
  <c r="G39" i="11"/>
  <c r="G18" i="11"/>
  <c r="G19" i="11"/>
  <c r="G20" i="11"/>
  <c r="G21" i="11"/>
  <c r="G22" i="11"/>
  <c r="G23" i="11"/>
  <c r="G24" i="11"/>
  <c r="G25" i="11"/>
  <c r="G26" i="11"/>
  <c r="G27" i="11"/>
  <c r="G28" i="11"/>
  <c r="G29" i="11"/>
  <c r="G30" i="11"/>
  <c r="G31" i="11"/>
  <c r="G32" i="11"/>
  <c r="G33" i="11"/>
  <c r="G34" i="11"/>
  <c r="G35" i="11"/>
  <c r="G36" i="11"/>
  <c r="H12" i="11"/>
  <c r="B37" i="14"/>
  <c r="L2" i="10"/>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O16" i="4"/>
  <c r="O15" i="4"/>
  <c r="O14" i="4"/>
  <c r="O13" i="4"/>
  <c r="C18" i="11"/>
  <c r="C19" i="11"/>
  <c r="C20" i="11"/>
  <c r="C21" i="11"/>
  <c r="C22" i="11"/>
  <c r="C23" i="11"/>
  <c r="C24" i="11"/>
  <c r="C25" i="11"/>
  <c r="C26" i="11"/>
  <c r="C27" i="11"/>
  <c r="C28" i="11"/>
  <c r="C29" i="11"/>
  <c r="C30" i="11"/>
  <c r="C31" i="11"/>
  <c r="C32" i="11"/>
  <c r="C33" i="11"/>
  <c r="C34" i="11"/>
  <c r="C35" i="11"/>
  <c r="C36" i="11"/>
  <c r="E18" i="11"/>
  <c r="H18" i="11" s="1"/>
  <c r="E19" i="11"/>
  <c r="H19" i="11" s="1"/>
  <c r="E20" i="11"/>
  <c r="H20" i="11" s="1"/>
  <c r="E21" i="11"/>
  <c r="H21" i="11" s="1"/>
  <c r="E22" i="11"/>
  <c r="H22" i="11" s="1"/>
  <c r="E23" i="11"/>
  <c r="H23" i="11" s="1"/>
  <c r="E24" i="11"/>
  <c r="H24" i="11" s="1"/>
  <c r="E25" i="11"/>
  <c r="H25" i="11" s="1"/>
  <c r="E26" i="11"/>
  <c r="H26" i="11" s="1"/>
  <c r="E27" i="11"/>
  <c r="H27" i="11" s="1"/>
  <c r="E28" i="11"/>
  <c r="H28" i="11" s="1"/>
  <c r="E29" i="11"/>
  <c r="H29" i="11" s="1"/>
  <c r="E30" i="11"/>
  <c r="H30" i="11" s="1"/>
  <c r="E31" i="11"/>
  <c r="H31" i="11" s="1"/>
  <c r="E32" i="11"/>
  <c r="H32" i="11" s="1"/>
  <c r="E33" i="11"/>
  <c r="H33" i="11" s="1"/>
  <c r="E34" i="11"/>
  <c r="H34" i="11" s="1"/>
  <c r="E35" i="11"/>
  <c r="H35" i="11" s="1"/>
  <c r="E36" i="11"/>
  <c r="H36" i="11" s="1"/>
  <c r="O12" i="4"/>
  <c r="O11" i="4"/>
  <c r="F3" i="2"/>
  <c r="F4" i="2"/>
  <c r="F5" i="2"/>
  <c r="F6" i="2"/>
  <c r="F7" i="2"/>
  <c r="F8" i="2"/>
  <c r="F9" i="2"/>
  <c r="F10" i="2"/>
  <c r="F11" i="2"/>
  <c r="F12" i="2"/>
  <c r="F13" i="2"/>
  <c r="F14" i="2"/>
  <c r="F15" i="2"/>
  <c r="F16" i="2"/>
  <c r="F17" i="2"/>
  <c r="F18" i="2"/>
  <c r="F19" i="2"/>
  <c r="O10" i="4"/>
  <c r="O9" i="4"/>
  <c r="Q1" i="4"/>
  <c r="H10" i="11" s="1"/>
  <c r="O2" i="4"/>
  <c r="O3" i="4"/>
  <c r="O4" i="4"/>
  <c r="O5" i="4"/>
  <c r="O6" i="4"/>
  <c r="O7" i="4"/>
  <c r="O8" i="4"/>
  <c r="H11" i="11"/>
  <c r="G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F2" i="2"/>
  <c r="H47" i="11" l="1"/>
  <c r="H45"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tc={9FBD3E37-9F47-4822-8E01-827569BB7FDE}</author>
    <author>tc={9A451115-8541-428B-8BAE-EB18D2B47937}</author>
  </authors>
  <commentList>
    <comment ref="D1" authorId="0" shapeId="0" xr:uid="{9FBD3E37-9F47-4822-8E01-827569BB7FD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Dejar en blanco para tomar la fecha actual</t>
        </r>
      </text>
    </comment>
    <comment ref="E1" authorId="1" shapeId="0" xr:uid="{9A451115-8541-428B-8BAE-EB18D2B4793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Dejar en blanco para tomar la fecha actual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tc={F36CE31C-CD18-49C7-A2CC-8F350B98A040}</author>
    <author>tc={477A1B99-F198-403A-B13E-1B80B502B64D}</author>
  </authors>
  <commentList>
    <comment ref="D1" authorId="0" shapeId="0" xr:uid="{F36CE31C-CD18-49C7-A2CC-8F350B98A04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Dejar en blanco para tomar la fecha actual</t>
        </r>
      </text>
    </comment>
    <comment ref="E1" authorId="1" shapeId="0" xr:uid="{477A1B99-F198-403A-B13E-1B80B502B64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Dejar en blanco para tomar la fecha actual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tc={5C925E64-C4B0-4A50-8023-AEB98F35C0BB}</author>
  </authors>
  <commentList>
    <comment ref="C1" authorId="0" shapeId="0" xr:uid="{5C925E64-C4B0-4A50-8023-AEB98F35C0B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Dejar en blanco para tomar la fecha actual</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68CC50D-487F-4769-B591-649232BE8EBC}" keepAlive="1" name="Query - bolsa_polipropileno" description="Connection to the 'bolsa_polipropileno' query in the workbook." type="5" refreshedVersion="0" background="1">
    <dbPr connection="Provider=Microsoft.Mashup.OleDb.1;Data Source=$Workbook$;Location=bolsa_polipropileno;Extended Properties=&quot;&quot;" command="SELECT * FROM [bolsa_polipropileno]"/>
  </connection>
  <connection id="2" xr16:uid="{68A5CFE5-1296-425D-B621-1D6F23C5A544}" keepAlive="1" name="Query - bolsillo_aluminio" description="Connection to the 'bolsillo_aluminio' query in the workbook." type="5" refreshedVersion="0" background="1">
    <dbPr connection="Provider=Microsoft.Mashup.OleDb.1;Data Source=$Workbook$;Location=bolsillo_aluminio;Extended Properties=&quot;&quot;" command="SELECT * FROM [bolsillo_aluminio]"/>
  </connection>
  <connection id="3" xr16:uid="{513DEB9F-DD84-47E3-B485-92F5C970896F}" keepAlive="1" name="Query - entradas_hist" description="Connection to the 'entradas_hist' query in the workbook." type="5" refreshedVersion="0" background="1">
    <dbPr connection="Provider=Microsoft.Mashup.OleDb.1;Data Source=$Workbook$;Location=entradas_hist;Extended Properties=&quot;&quot;" command="SELECT * FROM [entradas_hist]"/>
  </connection>
  <connection id="4" xr16:uid="{3AFDA090-CE58-4FEE-BD75-A618A0D00B8D}" keepAlive="1" name="Query - historico_movimientos" description="Connection to the 'historico_movimientos' query in the workbook." type="5" refreshedVersion="8" background="1" saveData="1">
    <dbPr connection="Provider=Microsoft.Mashup.OleDb.1;Data Source=$Workbook$;Location=historico_movimientos;Extended Properties=&quot;&quot;" command="SELECT * FROM [historico_movimientos]"/>
  </connection>
  <connection id="5" xr16:uid="{8B4ADE00-5E06-4DA1-8376-46E9739DEC47}" keepAlive="1" name="Query - inventario_actual" description="Connection to the 'inventario_actual' query in the workbook." type="5" refreshedVersion="8" background="1" saveData="1">
    <dbPr connection="Provider=Microsoft.Mashup.OleDb.1;Data Source=$Workbook$;Location=inventario_actual;Extended Properties=&quot;&quot;" command="SELECT * FROM [inventario_actual]"/>
  </connection>
  <connection id="6" xr16:uid="{DE0DA3F0-E3E0-4E55-B6CA-C1E121BFCCD9}" keepAlive="1" name="Query - mezclador" description="Connection to the 'mezclador' query in the workbook." type="5" refreshedVersion="0" background="1">
    <dbPr connection="Provider=Microsoft.Mashup.OleDb.1;Data Source=$Workbook$;Location=mezclador;Extended Properties=&quot;&quot;" command="SELECT * FROM [mezclador]"/>
  </connection>
  <connection id="7" xr16:uid="{A95C39C6-F7CC-4845-9AAE-D2D8B0B0E1D8}" keepAlive="1" name="Query - palillo_bamboo" description="Connection to the 'palillo_bamboo' query in the workbook." type="5" refreshedVersion="0" background="1">
    <dbPr connection="Provider=Microsoft.Mashup.OleDb.1;Data Source=$Workbook$;Location=palillo_bamboo;Extended Properties=&quot;&quot;" command="SELECT * FROM [palillo_bamboo]"/>
  </connection>
  <connection id="8" xr16:uid="{CA41E47C-CE10-4F4D-B4E3-2EEA7D7AB768}" keepAlive="1" name="Query - papel_aluminio" description="Connection to the 'papel_aluminio' query in the workbook." type="5" refreshedVersion="0" background="1">
    <dbPr connection="Provider=Microsoft.Mashup.OleDb.1;Data Source=$Workbook$;Location=papel_aluminio;Extended Properties=&quot;&quot;" command="SELECT * FROM [papel_aluminio]"/>
  </connection>
  <connection id="9" xr16:uid="{A9A66B89-77BD-4E6B-B4C0-32325E6EADC2}" keepAlive="1" name="Query - Parafinado" description="Connection to the 'Parafinado' query in the workbook." type="5" refreshedVersion="0" background="1">
    <dbPr connection="Provider=Microsoft.Mashup.OleDb.1;Data Source=$Workbook$;Location=Parafinado;Extended Properties=&quot;&quot;" command="SELECT * FROM [Parafinado]"/>
  </connection>
  <connection id="10" xr16:uid="{83824C35-E5FC-4B7A-83CF-FA6F9CC308A8}" keepAlive="1" name="Query - porta" description="Connection to the 'porta' query in the workbook." type="5" refreshedVersion="0" background="1">
    <dbPr connection="Provider=Microsoft.Mashup.OleDb.1;Data Source=$Workbook$;Location=porta;Extended Properties=&quot;&quot;" command="SELECT * FROM [porta]"/>
  </connection>
  <connection id="11" xr16:uid="{C6C1E3A2-2A12-46A9-8CDA-2AE530778D3E}" keepAlive="1" name="Query - salidas_hist" description="Connection to the 'salidas_hist' query in the workbook." type="5" refreshedVersion="0" background="1">
    <dbPr connection="Provider=Microsoft.Mashup.OleDb.1;Data Source=$Workbook$;Location=salidas_hist;Extended Properties=&quot;&quot;" command="SELECT * FROM [salidas_hist]"/>
  </connection>
  <connection id="12" xr16:uid="{D5AA2388-A534-4808-8ED5-1E51860D60FE}" keepAlive="1" name="Query - total_leyenda" description="Connection to the 'total_leyenda' query in the workbook." type="5" refreshedVersion="8" background="1" saveData="1">
    <dbPr connection="Provider=Microsoft.Mashup.OleDb.1;Data Source=$Workbook$;Location=total_leyenda;Extended Properties=&quot;&quot;" command="SELECT * FROM [total_leyenda]"/>
  </connection>
  <connection id="13" xr16:uid="{1DE3195E-8329-424A-AC79-BD775E0CDA78}" keepAlive="1" name="Query - vinipel" description="Connection to the 'vinipel' query in the workbook." type="5" refreshedVersion="0" background="1">
    <dbPr connection="Provider=Microsoft.Mashup.OleDb.1;Data Source=$Workbook$;Location=vinipel;Extended Properties=&quot;&quot;" command="SELECT * FROM [vinipel]"/>
  </connection>
  <connection id="14" xr16:uid="{0B411D70-77E9-4FF5-84EF-44271491C04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5" xr16:uid="{6091BDB0-344F-4535-A63F-ABFC8A24C791}" name="WorksheetConnection_Inventory.xlsm!historico_movimientos" type="102" refreshedVersion="8" minRefreshableVersion="5">
    <extLst>
      <ext xmlns:x15="http://schemas.microsoft.com/office/spreadsheetml/2010/11/main" uri="{DE250136-89BD-433C-8126-D09CA5730AF9}">
        <x15:connection id="historico_movimientos">
          <x15:rangePr sourceName="_xlcn.WorksheetConnection_Inventory.xlsmhistorico_movimientos1"/>
        </x15:connection>
      </ext>
    </extLst>
  </connection>
  <connection id="16" xr16:uid="{5E8E69D2-A086-4A39-A7AC-07D43F30611C}" name="WorksheetConnection_Inventory.xlsm!inventario_actual" type="102" refreshedVersion="8" minRefreshableVersion="5">
    <extLst>
      <ext xmlns:x15="http://schemas.microsoft.com/office/spreadsheetml/2010/11/main" uri="{DE250136-89BD-433C-8126-D09CA5730AF9}">
        <x15:connection id="inventario_actual">
          <x15:rangePr sourceName="_xlcn.WorksheetConnection_Inventory.xlsminventario_actual1"/>
        </x15:connection>
      </ext>
    </extLst>
  </connection>
  <connection id="17" xr16:uid="{1234F0B1-5719-44FE-8F88-A0DDF73AED1C}" name="WorksheetConnection_Inventory.xlsm!salidas_hist" type="102" refreshedVersion="8" minRefreshableVersion="5">
    <extLst>
      <ext xmlns:x15="http://schemas.microsoft.com/office/spreadsheetml/2010/11/main" uri="{DE250136-89BD-433C-8126-D09CA5730AF9}">
        <x15:connection id="salidas_hist">
          <x15:rangePr sourceName="_xlcn.WorksheetConnection_Inventory.xlsmsalidas_hist1"/>
        </x15:connection>
      </ext>
    </extLst>
  </connection>
</connections>
</file>

<file path=xl/sharedStrings.xml><?xml version="1.0" encoding="utf-8"?>
<sst xmlns="http://schemas.openxmlformats.org/spreadsheetml/2006/main" count="2227" uniqueCount="592">
  <si>
    <t>ID</t>
  </si>
  <si>
    <t>DESCRIPCION</t>
  </si>
  <si>
    <t>UNIDADES</t>
  </si>
  <si>
    <t>COMENTARIO</t>
  </si>
  <si>
    <t>LEGENDA</t>
  </si>
  <si>
    <t>PREFIJO</t>
  </si>
  <si>
    <t>PARAFINADO</t>
  </si>
  <si>
    <t xml:space="preserve">Parafinado rojo rollo 100 metros </t>
  </si>
  <si>
    <t>001</t>
  </si>
  <si>
    <t>00101</t>
  </si>
  <si>
    <t xml:space="preserve">Parafinado negro rollo 100 metros </t>
  </si>
  <si>
    <t>00102</t>
  </si>
  <si>
    <t xml:space="preserve">Parafinado blanco rollo 100 metros </t>
  </si>
  <si>
    <t>00103</t>
  </si>
  <si>
    <t xml:space="preserve">Parafinado amarillo rollo 100 metros </t>
  </si>
  <si>
    <t>00104</t>
  </si>
  <si>
    <t>00105</t>
  </si>
  <si>
    <t>00106</t>
  </si>
  <si>
    <t>00107</t>
  </si>
  <si>
    <t>00108</t>
  </si>
  <si>
    <t xml:space="preserve">Parafinado azul rollo 100 metros </t>
  </si>
  <si>
    <t xml:space="preserve">Parafinado verde rollo 100 metros </t>
  </si>
  <si>
    <t xml:space="preserve">Parafinado disenio rojo rollo 100 metros </t>
  </si>
  <si>
    <t xml:space="preserve">Parafinado disenio cafe rollo 100 metros </t>
  </si>
  <si>
    <t>PARAFINADO 100 mts</t>
  </si>
  <si>
    <t>PARAFINADO 50 mts</t>
  </si>
  <si>
    <t>002</t>
  </si>
  <si>
    <t>00201</t>
  </si>
  <si>
    <t xml:space="preserve">Parafinado rojo rollo 50 metros </t>
  </si>
  <si>
    <t>00202</t>
  </si>
  <si>
    <t>00203</t>
  </si>
  <si>
    <t>00204</t>
  </si>
  <si>
    <t>00205</t>
  </si>
  <si>
    <t>00206</t>
  </si>
  <si>
    <t>00207</t>
  </si>
  <si>
    <t>00208</t>
  </si>
  <si>
    <t xml:space="preserve">Parafinado negro rollo 50 metros </t>
  </si>
  <si>
    <t xml:space="preserve">Parafinado blanco rollo 50 metros </t>
  </si>
  <si>
    <t xml:space="preserve">Parafinado amarillo rollo 50 metros </t>
  </si>
  <si>
    <t xml:space="preserve">Parafinado azul rollo 50 metros </t>
  </si>
  <si>
    <t xml:space="preserve">Parafinado verde rollo 50 metros </t>
  </si>
  <si>
    <t xml:space="preserve">Parafinado disenio rojo rollo 50 metros </t>
  </si>
  <si>
    <t xml:space="preserve">Parafinado disenio cafe rollo 50 metros </t>
  </si>
  <si>
    <t>003</t>
  </si>
  <si>
    <t>00301</t>
  </si>
  <si>
    <t>00302</t>
  </si>
  <si>
    <t>00303</t>
  </si>
  <si>
    <t>00304</t>
  </si>
  <si>
    <t>00305</t>
  </si>
  <si>
    <t>00306</t>
  </si>
  <si>
    <t>00307</t>
  </si>
  <si>
    <t>00308</t>
  </si>
  <si>
    <t xml:space="preserve">Parafinado rojo rollo 20 metros </t>
  </si>
  <si>
    <t xml:space="preserve">Parafinado negro rollo 20 metros </t>
  </si>
  <si>
    <t xml:space="preserve">Parafinado blanco rollo 20 metros </t>
  </si>
  <si>
    <t xml:space="preserve">Parafinado amarillo rollo 20 metros </t>
  </si>
  <si>
    <t xml:space="preserve">Parafinado azul rollo 20 metros </t>
  </si>
  <si>
    <t xml:space="preserve">Parafinado verde rollo 20 metros </t>
  </si>
  <si>
    <t xml:space="preserve">Parafinado disenio rojo rollo 20 metros </t>
  </si>
  <si>
    <t>PARAFINADO 30X30</t>
  </si>
  <si>
    <t>004</t>
  </si>
  <si>
    <t>00401</t>
  </si>
  <si>
    <t>00402</t>
  </si>
  <si>
    <t>00403</t>
  </si>
  <si>
    <t>00404</t>
  </si>
  <si>
    <t>00405</t>
  </si>
  <si>
    <t>00406</t>
  </si>
  <si>
    <t>00407</t>
  </si>
  <si>
    <t xml:space="preserve">Parafinado 30x30 rojo  </t>
  </si>
  <si>
    <t xml:space="preserve">Parafinado 30x30 negro  </t>
  </si>
  <si>
    <t xml:space="preserve">Parafinado 30x30 blanco  </t>
  </si>
  <si>
    <t xml:space="preserve">Parafinado 30x30 amarillo  </t>
  </si>
  <si>
    <t>PARAFINADO 30X40</t>
  </si>
  <si>
    <t>Parafinado 30x30 Bio rojo</t>
  </si>
  <si>
    <t>Parafinado 30x30 verde</t>
  </si>
  <si>
    <t>Parafinado 30x30 azul</t>
  </si>
  <si>
    <t xml:space="preserve">Parafinado 30x30 Bio negro  </t>
  </si>
  <si>
    <t xml:space="preserve">Parafinado 30x30 Bio disenio  </t>
  </si>
  <si>
    <t>Parafinado 30x30 disenio</t>
  </si>
  <si>
    <t>005</t>
  </si>
  <si>
    <t>00501</t>
  </si>
  <si>
    <t>00502</t>
  </si>
  <si>
    <t>00503</t>
  </si>
  <si>
    <t>00504</t>
  </si>
  <si>
    <t>00505</t>
  </si>
  <si>
    <t>00506</t>
  </si>
  <si>
    <t>00507</t>
  </si>
  <si>
    <t xml:space="preserve">Parafinado 30x40 rojo  </t>
  </si>
  <si>
    <t xml:space="preserve">Parafinado 30x40 negro  </t>
  </si>
  <si>
    <t xml:space="preserve">Parafinado 30x40 blanco  </t>
  </si>
  <si>
    <t xml:space="preserve">Parafinado 30x40 amarillo  </t>
  </si>
  <si>
    <t>Parafinado 30x40 azul</t>
  </si>
  <si>
    <t>Parafinado 30x40 verde</t>
  </si>
  <si>
    <t>Parafinado 30x40 disenio rojo</t>
  </si>
  <si>
    <t>PARAFINADO 30X30 Bio</t>
  </si>
  <si>
    <t>006</t>
  </si>
  <si>
    <t>00601</t>
  </si>
  <si>
    <t>00602</t>
  </si>
  <si>
    <t>00603</t>
  </si>
  <si>
    <t>PARAFINADO Bolsillo</t>
  </si>
  <si>
    <t>007</t>
  </si>
  <si>
    <t>00701</t>
  </si>
  <si>
    <t>Parafinado Bolsillo rojo</t>
  </si>
  <si>
    <t>Parafinado Bolsillo rojo cuadrados grandes</t>
  </si>
  <si>
    <t>Parafinado Bolsillo negro</t>
  </si>
  <si>
    <t>Parafinado Bolsillo hamburguesa</t>
  </si>
  <si>
    <t>Parafinado Bolsillo naranja</t>
  </si>
  <si>
    <t>00702</t>
  </si>
  <si>
    <t>00703</t>
  </si>
  <si>
    <t>00704</t>
  </si>
  <si>
    <t>00705</t>
  </si>
  <si>
    <t>Papel Aluminio</t>
  </si>
  <si>
    <t>Papel aluminio</t>
  </si>
  <si>
    <t>008</t>
  </si>
  <si>
    <t>00801</t>
  </si>
  <si>
    <t>Papel Aluminio 7 metros</t>
  </si>
  <si>
    <t>Papel Aluminio 16 metros</t>
  </si>
  <si>
    <t>Papel Aluminio 40 metros</t>
  </si>
  <si>
    <t>Papel Aluminio 100 metros</t>
  </si>
  <si>
    <t>00802</t>
  </si>
  <si>
    <t>00803</t>
  </si>
  <si>
    <t>00804</t>
  </si>
  <si>
    <t>Mezclador Negro</t>
  </si>
  <si>
    <t>009</t>
  </si>
  <si>
    <t>00901</t>
  </si>
  <si>
    <t>Palillo bamboo</t>
  </si>
  <si>
    <t>010</t>
  </si>
  <si>
    <t>Palillo Bamboo</t>
  </si>
  <si>
    <t>Palillo bamboo 25 cm grueso</t>
  </si>
  <si>
    <t>Palillo bamboo 30 cm grueso</t>
  </si>
  <si>
    <t>Palillo pequenio</t>
  </si>
  <si>
    <t>Palillo grande</t>
  </si>
  <si>
    <t>VINIPEL</t>
  </si>
  <si>
    <t>011</t>
  </si>
  <si>
    <t>01001</t>
  </si>
  <si>
    <t>01002</t>
  </si>
  <si>
    <t>01003</t>
  </si>
  <si>
    <t>01004</t>
  </si>
  <si>
    <t>01101</t>
  </si>
  <si>
    <t>01102</t>
  </si>
  <si>
    <t>01103</t>
  </si>
  <si>
    <t>01104</t>
  </si>
  <si>
    <t>Vinipel alimento 50 metros</t>
  </si>
  <si>
    <t>Vinipel alimento 100 metros</t>
  </si>
  <si>
    <t>Vinipel alimento 200 metros</t>
  </si>
  <si>
    <t>Vinipel alimento 300 metros</t>
  </si>
  <si>
    <t>Vinipel alimento 500 metros</t>
  </si>
  <si>
    <t>01105</t>
  </si>
  <si>
    <t>Bolsillo Aluminio</t>
  </si>
  <si>
    <t>012</t>
  </si>
  <si>
    <t>Bolsillo Aluminio L-17</t>
  </si>
  <si>
    <t>01201</t>
  </si>
  <si>
    <t>Bolsillo Aluminio L-19</t>
  </si>
  <si>
    <t>Bolsillo Aluminio L-21</t>
  </si>
  <si>
    <t>Bolsillo Aluminio L-23</t>
  </si>
  <si>
    <t>Bolsillo Aluminio L-25</t>
  </si>
  <si>
    <t>01202</t>
  </si>
  <si>
    <t>01203</t>
  </si>
  <si>
    <t>01204</t>
  </si>
  <si>
    <t>01205</t>
  </si>
  <si>
    <t>PARAFINADO 20 mts</t>
  </si>
  <si>
    <t>VINIPEL ALIMENTO</t>
  </si>
  <si>
    <t>VINIPEL STRESS</t>
  </si>
  <si>
    <t>013</t>
  </si>
  <si>
    <t>01301</t>
  </si>
  <si>
    <t>Vinipel stress 5x300</t>
  </si>
  <si>
    <t>Vinipel stress 6x300</t>
  </si>
  <si>
    <t>Vinipel stress 6x500</t>
  </si>
  <si>
    <t>Vinipel stress 8x500</t>
  </si>
  <si>
    <t>Vinipel stress 12x300</t>
  </si>
  <si>
    <t>Vinipel stress 12x500</t>
  </si>
  <si>
    <t>Vinipel stress 20x300</t>
  </si>
  <si>
    <t>Vinipel stress 20x500</t>
  </si>
  <si>
    <t>01302</t>
  </si>
  <si>
    <t>01303</t>
  </si>
  <si>
    <t>01304</t>
  </si>
  <si>
    <t>01305</t>
  </si>
  <si>
    <t>01306</t>
  </si>
  <si>
    <t>01307</t>
  </si>
  <si>
    <t>01308</t>
  </si>
  <si>
    <t>Porta perro</t>
  </si>
  <si>
    <t>014</t>
  </si>
  <si>
    <t>Portas</t>
  </si>
  <si>
    <t>PORTA</t>
  </si>
  <si>
    <t>01401</t>
  </si>
  <si>
    <t>Porta pizza</t>
  </si>
  <si>
    <t>Porta arepa</t>
  </si>
  <si>
    <t>Porta hamburguesa</t>
  </si>
  <si>
    <t>Bolsa Propileno</t>
  </si>
  <si>
    <t>015</t>
  </si>
  <si>
    <t>01501</t>
  </si>
  <si>
    <t>Bolsa polipropileno 3  1/2 x20</t>
  </si>
  <si>
    <t>Bolsa polipropileno 4x20</t>
  </si>
  <si>
    <t>Bolsa polipropileno decorada 6x20</t>
  </si>
  <si>
    <t>Bolsa polipropileno decorada 8x15</t>
  </si>
  <si>
    <t>Bolsa polipropileno decorada 7x20</t>
  </si>
  <si>
    <t>Bolsa polipropileno decorada 8x20</t>
  </si>
  <si>
    <t>Bolsa polipropileno decorada 7x15</t>
  </si>
  <si>
    <t>Bolsa polipropileno decorada 5x7</t>
  </si>
  <si>
    <t>Bolsa polipropileno transp 8x15</t>
  </si>
  <si>
    <t>Bolsa polipropileno transp 9x14</t>
  </si>
  <si>
    <t>Bolsa polipropileno transp 10x16</t>
  </si>
  <si>
    <t>Bolsa polipropileno transp 6x8</t>
  </si>
  <si>
    <t>01502</t>
  </si>
  <si>
    <t>01503</t>
  </si>
  <si>
    <t>01504</t>
  </si>
  <si>
    <t>01505</t>
  </si>
  <si>
    <t>01506</t>
  </si>
  <si>
    <t>01507</t>
  </si>
  <si>
    <t>01508</t>
  </si>
  <si>
    <t>01509</t>
  </si>
  <si>
    <t>01510</t>
  </si>
  <si>
    <t>01511</t>
  </si>
  <si>
    <t>01512</t>
  </si>
  <si>
    <t>TOTAL</t>
  </si>
  <si>
    <t>Mezclador</t>
  </si>
  <si>
    <t>Bolsa Polipropileno</t>
  </si>
  <si>
    <t>hora manual (hh/mm AM/PM)</t>
  </si>
  <si>
    <t>Registro Inicial</t>
  </si>
  <si>
    <t>fecha manual (dia/mes/anio)</t>
  </si>
  <si>
    <t>01402</t>
  </si>
  <si>
    <t>01403</t>
  </si>
  <si>
    <t>01404</t>
  </si>
  <si>
    <t>TIPO</t>
  </si>
  <si>
    <t>NA</t>
  </si>
  <si>
    <t>fecha registro</t>
  </si>
  <si>
    <t>entrada</t>
  </si>
  <si>
    <t>venta</t>
  </si>
  <si>
    <t>ENTRADA UNIDADES</t>
  </si>
  <si>
    <t>INTERVALOS</t>
  </si>
  <si>
    <t xml:space="preserve"> </t>
  </si>
  <si>
    <t>Intervalo</t>
  </si>
  <si>
    <t>id_mov</t>
  </si>
  <si>
    <t>0010188</t>
  </si>
  <si>
    <t>0010189</t>
  </si>
  <si>
    <t>0010190</t>
  </si>
  <si>
    <t>0010192</t>
  </si>
  <si>
    <t>0010293</t>
  </si>
  <si>
    <t>011050</t>
  </si>
  <si>
    <t>013011</t>
  </si>
  <si>
    <t>011042</t>
  </si>
  <si>
    <t>011023</t>
  </si>
  <si>
    <t>011034</t>
  </si>
  <si>
    <t>013025</t>
  </si>
  <si>
    <t>013066</t>
  </si>
  <si>
    <t>013077</t>
  </si>
  <si>
    <t>013058</t>
  </si>
  <si>
    <t>013039</t>
  </si>
  <si>
    <t>0130410</t>
  </si>
  <si>
    <t>0080311</t>
  </si>
  <si>
    <t>0080412</t>
  </si>
  <si>
    <t>0080213</t>
  </si>
  <si>
    <t>0070514</t>
  </si>
  <si>
    <t>0080115</t>
  </si>
  <si>
    <t>0090116</t>
  </si>
  <si>
    <t>0100417</t>
  </si>
  <si>
    <t>0110118</t>
  </si>
  <si>
    <t>0100319</t>
  </si>
  <si>
    <t>0100120</t>
  </si>
  <si>
    <t>0100221</t>
  </si>
  <si>
    <t>0150922</t>
  </si>
  <si>
    <t>0151023</t>
  </si>
  <si>
    <t>0150824</t>
  </si>
  <si>
    <t>0150625</t>
  </si>
  <si>
    <t>0150726</t>
  </si>
  <si>
    <t>0151127</t>
  </si>
  <si>
    <t>0140328</t>
  </si>
  <si>
    <t>0140429</t>
  </si>
  <si>
    <t>0140230</t>
  </si>
  <si>
    <t>0151231</t>
  </si>
  <si>
    <t>0140132</t>
  </si>
  <si>
    <t>0120333</t>
  </si>
  <si>
    <t>0120434</t>
  </si>
  <si>
    <t>0120235</t>
  </si>
  <si>
    <t>0130836</t>
  </si>
  <si>
    <t>0120137</t>
  </si>
  <si>
    <t>0120538</t>
  </si>
  <si>
    <t>0150439</t>
  </si>
  <si>
    <t>0150540</t>
  </si>
  <si>
    <t>0150341</t>
  </si>
  <si>
    <t>0150142</t>
  </si>
  <si>
    <t>0150243</t>
  </si>
  <si>
    <t>0020744</t>
  </si>
  <si>
    <t>0020845</t>
  </si>
  <si>
    <t>0020646</t>
  </si>
  <si>
    <t>0020447</t>
  </si>
  <si>
    <t>0020548</t>
  </si>
  <si>
    <t>0030149</t>
  </si>
  <si>
    <t>0030550</t>
  </si>
  <si>
    <t>0030651</t>
  </si>
  <si>
    <t>0030452</t>
  </si>
  <si>
    <t>0030253</t>
  </si>
  <si>
    <t>0030354</t>
  </si>
  <si>
    <t>0010455</t>
  </si>
  <si>
    <t>0010556</t>
  </si>
  <si>
    <t>0010357</t>
  </si>
  <si>
    <t>0010158</t>
  </si>
  <si>
    <t>0010259</t>
  </si>
  <si>
    <t>0010660</t>
  </si>
  <si>
    <t>0020261</t>
  </si>
  <si>
    <t>0020362</t>
  </si>
  <si>
    <t>0020163</t>
  </si>
  <si>
    <t>0010764</t>
  </si>
  <si>
    <t>0010865</t>
  </si>
  <si>
    <t>0050766</t>
  </si>
  <si>
    <t>0060167</t>
  </si>
  <si>
    <t>0050668</t>
  </si>
  <si>
    <t>0050469</t>
  </si>
  <si>
    <t>0050570</t>
  </si>
  <si>
    <t>0060271</t>
  </si>
  <si>
    <t>0070372</t>
  </si>
  <si>
    <t>0070473</t>
  </si>
  <si>
    <t>0070274</t>
  </si>
  <si>
    <t>0060375</t>
  </si>
  <si>
    <t>0070176</t>
  </si>
  <si>
    <t>0040377</t>
  </si>
  <si>
    <t>0040478</t>
  </si>
  <si>
    <t>0040279</t>
  </si>
  <si>
    <t>0030780</t>
  </si>
  <si>
    <t>0040181</t>
  </si>
  <si>
    <t>0040582</t>
  </si>
  <si>
    <t>0050283</t>
  </si>
  <si>
    <t>0050384</t>
  </si>
  <si>
    <t>0050185</t>
  </si>
  <si>
    <t>0040686</t>
  </si>
  <si>
    <t>0040787</t>
  </si>
  <si>
    <t>0010291</t>
  </si>
  <si>
    <t>0010194</t>
  </si>
  <si>
    <t>total_inv</t>
  </si>
  <si>
    <t>fecha</t>
  </si>
  <si>
    <t>hora</t>
  </si>
  <si>
    <t>tipo</t>
  </si>
  <si>
    <t>id_producto</t>
  </si>
  <si>
    <t>unidades</t>
  </si>
  <si>
    <t>descripcion</t>
  </si>
  <si>
    <t>comentario</t>
  </si>
  <si>
    <t>Parafinado 30x30 amarillo</t>
  </si>
  <si>
    <t>Parafinado 30x30 Bio disenio</t>
  </si>
  <si>
    <t>Parafinado 30x30 Bio negro</t>
  </si>
  <si>
    <t>Parafinado 30x30 blanco</t>
  </si>
  <si>
    <t>Parafinado 30x30 negro</t>
  </si>
  <si>
    <t>Parafinado 30x30 rojo</t>
  </si>
  <si>
    <t>Parafinado 30x40 amarillo</t>
  </si>
  <si>
    <t>Parafinado 30x40 blanco</t>
  </si>
  <si>
    <t>Parafinado 30x40 negro</t>
  </si>
  <si>
    <t>Parafinado 30x40 rojo</t>
  </si>
  <si>
    <t>Parafinado amarillo rollo 100 metros</t>
  </si>
  <si>
    <t>Parafinado amarillo rollo 20 metros</t>
  </si>
  <si>
    <t>Parafinado amarillo rollo 50 metros</t>
  </si>
  <si>
    <t>Parafinado azul rollo 100 metros</t>
  </si>
  <si>
    <t>Parafinado azul rollo 20 metros</t>
  </si>
  <si>
    <t>Parafinado azul rollo 50 metros</t>
  </si>
  <si>
    <t>Parafinado blanco rollo 100 metros</t>
  </si>
  <si>
    <t>Parafinado blanco rollo 20 metros</t>
  </si>
  <si>
    <t>Parafinado blanco rollo 50 metros</t>
  </si>
  <si>
    <t>Parafinado disenio cafe rollo 100 metros</t>
  </si>
  <si>
    <t>Parafinado disenio cafe rollo 50 metros</t>
  </si>
  <si>
    <t>Parafinado disenio rojo rollo 100 metros</t>
  </si>
  <si>
    <t>Parafinado disenio rojo rollo 20 metros</t>
  </si>
  <si>
    <t>Parafinado disenio rojo rollo 50 metros</t>
  </si>
  <si>
    <t>Parafinado negro rollo 100 metros</t>
  </si>
  <si>
    <t>Parafinado negro rollo 20 metros</t>
  </si>
  <si>
    <t>Parafinado negro rollo 50 metros</t>
  </si>
  <si>
    <t>Parafinado rojo rollo 100 metros</t>
  </si>
  <si>
    <t>Parafinado rojo rollo 20 metros</t>
  </si>
  <si>
    <t>Parafinado rojo rollo 50 metros</t>
  </si>
  <si>
    <t>Parafinado verde rollo 100 metros</t>
  </si>
  <si>
    <t>Parafinado verde rollo 20 metros</t>
  </si>
  <si>
    <t>Parafinado verde rollo 50 metros</t>
  </si>
  <si>
    <t>Grand Total</t>
  </si>
  <si>
    <t>Sum of unidades</t>
  </si>
  <si>
    <t>CATEGORIA</t>
  </si>
  <si>
    <t>Parafinado</t>
  </si>
  <si>
    <t>categoria</t>
  </si>
  <si>
    <t xml:space="preserve">  INVENTARIO</t>
  </si>
  <si>
    <t>Unidades</t>
  </si>
  <si>
    <t>Inventario actual</t>
  </si>
  <si>
    <t xml:space="preserve">Historico del dia </t>
  </si>
  <si>
    <t>precio unitario</t>
  </si>
  <si>
    <t>CANTIDAD</t>
  </si>
  <si>
    <t>numero de factura:</t>
  </si>
  <si>
    <t>1</t>
  </si>
  <si>
    <t>2</t>
  </si>
  <si>
    <t>3</t>
  </si>
  <si>
    <t>4</t>
  </si>
  <si>
    <t>5</t>
  </si>
  <si>
    <t>6</t>
  </si>
  <si>
    <t>7</t>
  </si>
  <si>
    <t>INGRESO</t>
  </si>
  <si>
    <t>FACTURA_ID</t>
  </si>
  <si>
    <t>FECHA</t>
  </si>
  <si>
    <t>HORA</t>
  </si>
  <si>
    <t>PRODUCTO_ID</t>
  </si>
  <si>
    <t>Alex Camargo</t>
  </si>
  <si>
    <t>VALOR UNITARIO</t>
  </si>
  <si>
    <t>PLASTISOL</t>
  </si>
  <si>
    <t>Todo lo relacionado con plasticos, precorte - bolsa manila, porta perro, pizza, hamburguesa. Bolsa de basura y otros..</t>
  </si>
  <si>
    <t>Cra 26 # 37-10  San Isidro</t>
  </si>
  <si>
    <t>Villavicencio/Meta</t>
  </si>
  <si>
    <t>email:</t>
  </si>
  <si>
    <t>telefono:</t>
  </si>
  <si>
    <t>john-alex131@hotmail.com</t>
  </si>
  <si>
    <t>SUBTOTAL:</t>
  </si>
  <si>
    <t>IVA 19%:</t>
  </si>
  <si>
    <t>TOTAL:</t>
  </si>
  <si>
    <t>Elaborado por:</t>
  </si>
  <si>
    <t>Daniel Camargo</t>
  </si>
  <si>
    <t>Gracias por su compra.</t>
  </si>
  <si>
    <t>CC. 1234.567.8900</t>
  </si>
  <si>
    <t>Valor unitario</t>
  </si>
  <si>
    <t>a</t>
  </si>
  <si>
    <t>b</t>
  </si>
  <si>
    <t xml:space="preserve">  VENTAS</t>
  </si>
  <si>
    <t>Diario</t>
  </si>
  <si>
    <t>Row Labels</t>
  </si>
  <si>
    <t>INGRESOS</t>
  </si>
  <si>
    <t>Ingreso y cantidad de producto vendido</t>
  </si>
  <si>
    <t>Ingreso y cantidad de producto vendido historico</t>
  </si>
  <si>
    <t>2023</t>
  </si>
  <si>
    <t>Oct</t>
  </si>
  <si>
    <t>Nov</t>
  </si>
  <si>
    <t>2024</t>
  </si>
  <si>
    <t>Jan</t>
  </si>
  <si>
    <t>Feb</t>
  </si>
  <si>
    <t>Mar</t>
  </si>
  <si>
    <t>20-Oct</t>
  </si>
  <si>
    <t>25-Oct</t>
  </si>
  <si>
    <t>25-Nov</t>
  </si>
  <si>
    <t>11-Jan</t>
  </si>
  <si>
    <t>7-Feb</t>
  </si>
  <si>
    <t>6-Mar</t>
  </si>
  <si>
    <t>0010795</t>
  </si>
  <si>
    <t>0010796</t>
  </si>
  <si>
    <t>0010297</t>
  </si>
  <si>
    <t>0010198</t>
  </si>
  <si>
    <t>0130199</t>
  </si>
  <si>
    <t>01509100</t>
  </si>
  <si>
    <t>01001101</t>
  </si>
  <si>
    <t>00803102</t>
  </si>
  <si>
    <t>Efectivo</t>
  </si>
  <si>
    <t>IMPORTE</t>
  </si>
  <si>
    <t>OTROS CARGOS:</t>
  </si>
  <si>
    <t>DCTO Y CARGOS:</t>
  </si>
  <si>
    <t>Representacion impresa de comprobante electronico</t>
  </si>
  <si>
    <t>*******************************************</t>
  </si>
  <si>
    <t>---------------------------------------------------------------------</t>
  </si>
  <si>
    <t>CLIENTE:</t>
  </si>
  <si>
    <t>NIT:</t>
  </si>
  <si>
    <t>EMAIL:</t>
  </si>
  <si>
    <t>TELEFONO:</t>
  </si>
  <si>
    <t>FECHA VCTO:</t>
  </si>
  <si>
    <t>FECHA:</t>
  </si>
  <si>
    <t>HORA:</t>
  </si>
  <si>
    <t>MEDIO PAGO:</t>
  </si>
  <si>
    <t xml:space="preserve">PARAFINADO ROJO ROLLO 100 METROS </t>
  </si>
  <si>
    <t xml:space="preserve">PARAFINADO NEGRO ROLLO 100 METROS </t>
  </si>
  <si>
    <t xml:space="preserve">PARAFINADO BLANCO ROLLO 100 METROS </t>
  </si>
  <si>
    <t xml:space="preserve">PARAFINADO AMARILLO ROLLO 100 METROS </t>
  </si>
  <si>
    <t xml:space="preserve">PARAFINADO AZUL ROLLO 100 METROS </t>
  </si>
  <si>
    <t xml:space="preserve">PARAFINADO VERDE ROLLO 100 METROS </t>
  </si>
  <si>
    <t xml:space="preserve">PARAFINADO DISENIO ROJO ROLLO 100 METROS </t>
  </si>
  <si>
    <t xml:space="preserve">PARAFINADO DISENIO CAFE ROLLO 100 METROS </t>
  </si>
  <si>
    <t xml:space="preserve">PARAFINADO ROJO ROLLO 50 METROS </t>
  </si>
  <si>
    <t xml:space="preserve">PARAFINADO NEGRO ROLLO 50 METROS </t>
  </si>
  <si>
    <t xml:space="preserve">PARAFINADO BLANCO ROLLO 50 METROS </t>
  </si>
  <si>
    <t xml:space="preserve">PARAFINADO AMARILLO ROLLO 50 METROS </t>
  </si>
  <si>
    <t xml:space="preserve">PARAFINADO AZUL ROLLO 50 METROS </t>
  </si>
  <si>
    <t xml:space="preserve">PARAFINADO VERDE ROLLO 50 METROS </t>
  </si>
  <si>
    <t xml:space="preserve">PARAFINADO DISENIO ROJO ROLLO 50 METROS </t>
  </si>
  <si>
    <t xml:space="preserve">PARAFINADO DISENIO CAFE ROLLO 50 METROS </t>
  </si>
  <si>
    <t xml:space="preserve">PARAFINADO ROJO ROLLO 20 METROS </t>
  </si>
  <si>
    <t xml:space="preserve">PARAFINADO NEGRO ROLLO 20 METROS </t>
  </si>
  <si>
    <t xml:space="preserve">PARAFINADO BLANCO ROLLO 20 METROS </t>
  </si>
  <si>
    <t xml:space="preserve">PARAFINADO AMARILLO ROLLO 20 METROS </t>
  </si>
  <si>
    <t xml:space="preserve">PARAFINADO AZUL ROLLO 20 METROS </t>
  </si>
  <si>
    <t xml:space="preserve">PARAFINADO VERDE ROLLO 20 METROS </t>
  </si>
  <si>
    <t xml:space="preserve">PARAFINADO DISENIO ROJO ROLLO 20 METROS </t>
  </si>
  <si>
    <t xml:space="preserve">PARAFINADO DISENIO CAFE ROLLO 20 METROS </t>
  </si>
  <si>
    <t xml:space="preserve">PARAFINADO 30X30 ROJO  </t>
  </si>
  <si>
    <t xml:space="preserve">PARAFINADO 30X30 NEGRO  </t>
  </si>
  <si>
    <t xml:space="preserve">PARAFINADO 30X30 BLANCO  </t>
  </si>
  <si>
    <t xml:space="preserve">PARAFINADO 30X30 AMARILLO  </t>
  </si>
  <si>
    <t>PARAFINADO 30X30 AZUL</t>
  </si>
  <si>
    <t>PARAFINADO 30X30 VERDE</t>
  </si>
  <si>
    <t>PARAFINADO 30X30 DISENIO</t>
  </si>
  <si>
    <t xml:space="preserve">PARAFINADO 30X40 ROJO  </t>
  </si>
  <si>
    <t xml:space="preserve">PARAFINADO 30X40 NEGRO  </t>
  </si>
  <si>
    <t xml:space="preserve">PARAFINADO 30X40 BLANCO  </t>
  </si>
  <si>
    <t xml:space="preserve">PARAFINADO 30X40 AMARILLO  </t>
  </si>
  <si>
    <t>PARAFINADO 30X40 AZUL</t>
  </si>
  <si>
    <t>PARAFINADO 30X40 VERDE</t>
  </si>
  <si>
    <t>PARAFINADO 30X40 DISENIO ROJO</t>
  </si>
  <si>
    <t>PARAFINADO 30X30 BIO ROJO</t>
  </si>
  <si>
    <t xml:space="preserve">PARAFINADO 30X30 BIO NEGRO  </t>
  </si>
  <si>
    <t xml:space="preserve">PARAFINADO 30X30 BIO DISENIO  </t>
  </si>
  <si>
    <t>PARAFINADO BOLSILLO ROJO</t>
  </si>
  <si>
    <t>PARAFINADO BOLSILLO ROJO CUADRADOS GRANDES</t>
  </si>
  <si>
    <t>PARAFINADO BOLSILLO NEGRO</t>
  </si>
  <si>
    <t>PARAFINADO BOLSILLO HAMBURGUESA</t>
  </si>
  <si>
    <t>PARAFINADO BOLSILLO NARANJA</t>
  </si>
  <si>
    <t>PAPEL ALUMINIO 7 METROS</t>
  </si>
  <si>
    <t>PAPEL ALUMINIO 16 METROS</t>
  </si>
  <si>
    <t>PAPEL ALUMINIO 40 METROS</t>
  </si>
  <si>
    <t>PAPEL ALUMINIO 100 METROS</t>
  </si>
  <si>
    <t>MEZCLADOR NEGRO</t>
  </si>
  <si>
    <t>PALILLO BAMBOO 25 CM GRUESO</t>
  </si>
  <si>
    <t>PALILLO BAMBOO 30 CM GRUESO</t>
  </si>
  <si>
    <t>PALILLO PEQUENIO</t>
  </si>
  <si>
    <t>PALILLO GRANDE</t>
  </si>
  <si>
    <t>VINIPEL ALIMENTO 50 METROS</t>
  </si>
  <si>
    <t>VINIPEL ALIMENTO 100 METROS</t>
  </si>
  <si>
    <t>VINIPEL ALIMENTO 200 METROS</t>
  </si>
  <si>
    <t>VINIPEL ALIMENTO 300 METROS</t>
  </si>
  <si>
    <t>VINIPEL ALIMENTO 500 METROS</t>
  </si>
  <si>
    <t>VINIPEL STRESS 5X300</t>
  </si>
  <si>
    <t>VINIPEL STRESS 6X300</t>
  </si>
  <si>
    <t>VINIPEL STRESS 6X500</t>
  </si>
  <si>
    <t>VINIPEL STRESS 8X500</t>
  </si>
  <si>
    <t>VINIPEL STRESS 12X300</t>
  </si>
  <si>
    <t>VINIPEL STRESS 12X500</t>
  </si>
  <si>
    <t>VINIPEL STRESS 20X300</t>
  </si>
  <si>
    <t>VINIPEL STRESS 20X500</t>
  </si>
  <si>
    <t>BOLSILLO ALUMINIO L-17</t>
  </si>
  <si>
    <t>BOLSILLO ALUMINIO L-19</t>
  </si>
  <si>
    <t>BOLSILLO ALUMINIO L-21</t>
  </si>
  <si>
    <t>BOLSILLO ALUMINIO L-23</t>
  </si>
  <si>
    <t>BOLSILLO ALUMINIO L-25</t>
  </si>
  <si>
    <t>PORTA PERRO</t>
  </si>
  <si>
    <t>PORTA PIZZA</t>
  </si>
  <si>
    <t>PORTA AREPA</t>
  </si>
  <si>
    <t>PORTA HAMBURGUESA</t>
  </si>
  <si>
    <t>BOLSA POLIPROPILENO 3  1/2 X20</t>
  </si>
  <si>
    <t>BOLSA POLIPROPILENO 4X20</t>
  </si>
  <si>
    <t>BOLSA POLIPROPILENO DECORADA 6X20</t>
  </si>
  <si>
    <t>BOLSA POLIPROPILENO DECORADA 8X15</t>
  </si>
  <si>
    <t>BOLSA POLIPROPILENO DECORADA 7X20</t>
  </si>
  <si>
    <t>BOLSA POLIPROPILENO DECORADA 8X20</t>
  </si>
  <si>
    <t>BOLSA POLIPROPILENO DECORADA 7X15</t>
  </si>
  <si>
    <t>BOLSA POLIPROPILENO DECORADA 5X7</t>
  </si>
  <si>
    <t>BOLSA POLIPROPILENO TRANSP 8X15</t>
  </si>
  <si>
    <t>BOLSA POLIPROPILENO TRANSP 9X14</t>
  </si>
  <si>
    <t>BOLSA POLIPROPILENO TRANSP 10X16</t>
  </si>
  <si>
    <t>BOLSA POLIPROPILENO TRANSP 6X8</t>
  </si>
  <si>
    <t>FACTURA DE VENTA ELECTRONICA</t>
  </si>
  <si>
    <t>NOMBRE</t>
  </si>
  <si>
    <t>NOMBRE EMPRESA</t>
  </si>
  <si>
    <t>DIRECCION</t>
  </si>
  <si>
    <t>TELEFONO</t>
  </si>
  <si>
    <t>John Camargo</t>
  </si>
  <si>
    <t>Owl technologic solutions S.A.S.</t>
  </si>
  <si>
    <t>Kr 40 # 23 b 51</t>
  </si>
  <si>
    <t>NIT/C.C</t>
  </si>
  <si>
    <t>NIT 123456789-1</t>
  </si>
  <si>
    <t>indsol@hotmail.com</t>
  </si>
  <si>
    <t>FORMA PAGO:</t>
  </si>
  <si>
    <t>[CANT] ARTICULO</t>
  </si>
  <si>
    <t>Contado</t>
  </si>
  <si>
    <r>
      <t xml:space="preserve">NIT </t>
    </r>
    <r>
      <rPr>
        <sz val="9"/>
        <color theme="1" tint="0.34998626667073579"/>
        <rFont val="Calibri"/>
        <family val="2"/>
        <scheme val="minor"/>
      </rPr>
      <t>123456789-1</t>
    </r>
    <r>
      <rPr>
        <b/>
        <sz val="9"/>
        <color theme="1" tint="0.34998626667073579"/>
        <rFont val="Calibri"/>
        <family val="2"/>
        <scheme val="minor"/>
      </rPr>
      <t xml:space="preserve"> </t>
    </r>
  </si>
  <si>
    <t>Plastisol</t>
  </si>
  <si>
    <t>Villavicencio / Meta</t>
  </si>
  <si>
    <t>Colombia</t>
  </si>
  <si>
    <t>Whatsapp +57 3184278532</t>
  </si>
  <si>
    <t>Seniores:</t>
  </si>
  <si>
    <t>Direccion</t>
  </si>
  <si>
    <t>Ciudad:</t>
  </si>
  <si>
    <t>Villavicencio</t>
  </si>
  <si>
    <t xml:space="preserve">Fecha factura: </t>
  </si>
  <si>
    <t>Fecha Vencimiento:</t>
  </si>
  <si>
    <t>Forma de pago:</t>
  </si>
  <si>
    <t>Medio de pago:</t>
  </si>
  <si>
    <t>IVA %</t>
  </si>
  <si>
    <t>Descuento</t>
  </si>
  <si>
    <t xml:space="preserve">DESCUENTO % </t>
  </si>
  <si>
    <t>TOTAL A PAGAR:</t>
  </si>
  <si>
    <t>EMAIL</t>
  </si>
  <si>
    <t>CIUDAD</t>
  </si>
  <si>
    <t>MEDIOS DE PAGO</t>
  </si>
  <si>
    <t>transferencia Electronica</t>
  </si>
  <si>
    <t>FORMAS DE PAGO</t>
  </si>
  <si>
    <t>Pago aplazado</t>
  </si>
  <si>
    <t>Pago a credito</t>
  </si>
  <si>
    <t>No aplica</t>
  </si>
  <si>
    <t>--</t>
  </si>
  <si>
    <t>ID Cliente</t>
  </si>
  <si>
    <t>Nombre Cliente</t>
  </si>
  <si>
    <t>IVA</t>
  </si>
  <si>
    <t>Hora:</t>
  </si>
  <si>
    <t>[10] PARAFINADO 30X40 DISENIO ROJO</t>
  </si>
  <si>
    <t>[50] BOLSA POLIPROPILENO DECORADA 5X7</t>
  </si>
  <si>
    <t>[20] VINIPEL STRESS 20X300</t>
  </si>
  <si>
    <t>FACTURA DE VENTA: 14</t>
  </si>
  <si>
    <t>IVA: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</si>
</sst>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4" formatCode="_(&quot;$&quot;* #,##0.00_);_(&quot;$&quot;* \(#,##0.00\);_(&quot;$&quot;* &quot;-&quot;??_);_(@_)"/>
    <numFmt numFmtId="43" formatCode="_(* #,##0.00_);_(* \(#,##0.00\);_(* &quot;-&quot;??_);_(@_)"/>
    <numFmt numFmtId="164" formatCode="d/mm/yyyy;@"/>
    <numFmt numFmtId="165" formatCode="dd/mm/yyyy;@"/>
    <numFmt numFmtId="166" formatCode="[$-F400]h:mm:ss\ AM/PM"/>
    <numFmt numFmtId="167" formatCode="[$-409]m/d/yy\ h:mm\ AM/PM;@"/>
    <numFmt numFmtId="168" formatCode="d/mm/yyyy\ hh:mm\ AM/PM;"/>
    <numFmt numFmtId="169" formatCode="_-[$$-240A]\ * #,##0.00_-;\-[$$-240A]\ * #,##0.00_-;_-[$$-240A]\ * &quot;-&quot;??_-;_-@_-"/>
    <numFmt numFmtId="170" formatCode="&quot;$&quot;#,##0"/>
    <numFmt numFmtId="171" formatCode="_-[$$-240A]\ * #,##0_-;\-[$$-240A]\ * #,##0_-;_-[$$-240A]\ * &quot;-&quot;??_-;_-@_-"/>
    <numFmt numFmtId="172" formatCode="h:mm:ss;@"/>
    <numFmt numFmtId="173" formatCode="_(* #,##0_);_(* \(#,##0\);_(* &quot;-&quot;??_);_(@_)"/>
  </numFmts>
  <fonts count="39" x14ac:knownFonts="1">
    <font>
      <sz val="11"/>
      <color theme="1"/>
      <name val="Calibri"/>
      <family val="2"/>
      <scheme val="minor"/>
    </font>
    <font>
      <sz val="8"/>
      <name val="Calibri"/>
      <family val="2"/>
      <scheme val="minor"/>
    </font>
    <font>
      <b/>
      <sz val="11"/>
      <color theme="0"/>
      <name val="Calibri"/>
      <family val="2"/>
      <scheme val="minor"/>
    </font>
    <font>
      <sz val="22"/>
      <color theme="1"/>
      <name val="Calibri"/>
      <family val="2"/>
      <scheme val="minor"/>
    </font>
    <font>
      <sz val="24"/>
      <color rgb="FF303C10"/>
      <name val="Century Gothic"/>
      <family val="2"/>
    </font>
    <font>
      <sz val="22"/>
      <color rgb="FF1B3931"/>
      <name val="Century Gothic"/>
      <family val="2"/>
    </font>
    <font>
      <sz val="11"/>
      <color theme="1"/>
      <name val="Century Gothic"/>
      <family val="2"/>
    </font>
    <font>
      <sz val="11"/>
      <color theme="1"/>
      <name val="Calibri"/>
      <family val="2"/>
      <scheme val="minor"/>
    </font>
    <font>
      <sz val="9"/>
      <color theme="1" tint="0.34998626667073579"/>
      <name val="Calibri"/>
      <family val="2"/>
      <scheme val="minor"/>
    </font>
    <font>
      <sz val="9"/>
      <color theme="1"/>
      <name val="Calibri"/>
      <family val="2"/>
      <scheme val="minor"/>
    </font>
    <font>
      <b/>
      <sz val="9"/>
      <color theme="1" tint="0.34998626667073579"/>
      <name val="Calibri"/>
      <family val="2"/>
      <scheme val="minor"/>
    </font>
    <font>
      <i/>
      <sz val="9"/>
      <color theme="1" tint="0.34998626667073579"/>
      <name val="Calibri"/>
      <family val="2"/>
      <scheme val="minor"/>
    </font>
    <font>
      <sz val="11"/>
      <color theme="1" tint="0.34998626667073579"/>
      <name val="Century Gothic"/>
      <family val="2"/>
    </font>
    <font>
      <sz val="11"/>
      <name val="Calibri"/>
      <family val="2"/>
      <scheme val="minor"/>
    </font>
    <font>
      <sz val="11"/>
      <color theme="1"/>
      <name val="Century Gothic"/>
    </font>
    <font>
      <i/>
      <sz val="12"/>
      <color theme="1" tint="0.34998626667073579"/>
      <name val="Calibri"/>
      <family val="2"/>
      <scheme val="minor"/>
    </font>
    <font>
      <b/>
      <sz val="14"/>
      <color theme="1" tint="0.34998626667073579"/>
      <name val="Courier New"/>
      <family val="3"/>
    </font>
    <font>
      <sz val="11"/>
      <color theme="1"/>
      <name val="Courier New"/>
      <family val="3"/>
    </font>
    <font>
      <sz val="12"/>
      <color theme="1" tint="0.34998626667073579"/>
      <name val="Courier New"/>
      <family val="3"/>
    </font>
    <font>
      <i/>
      <sz val="12"/>
      <color theme="1" tint="0.34998626667073579"/>
      <name val="Courier New"/>
      <family val="3"/>
    </font>
    <font>
      <b/>
      <sz val="11"/>
      <color theme="1" tint="0.34998626667073579"/>
      <name val="Courier New"/>
      <family val="3"/>
    </font>
    <font>
      <sz val="9"/>
      <color theme="1"/>
      <name val="Courier New"/>
      <family val="3"/>
    </font>
    <font>
      <i/>
      <sz val="9"/>
      <color theme="1" tint="0.34998626667073579"/>
      <name val="Courier New"/>
      <family val="3"/>
    </font>
    <font>
      <b/>
      <i/>
      <sz val="14"/>
      <color theme="1" tint="0.34998626667073579"/>
      <name val="Courier New"/>
      <family val="3"/>
    </font>
    <font>
      <sz val="14"/>
      <color theme="1" tint="0.34998626667073579"/>
      <name val="Courier New"/>
      <family val="3"/>
    </font>
    <font>
      <sz val="14"/>
      <color theme="1"/>
      <name val="Courier New"/>
      <family val="3"/>
    </font>
    <font>
      <b/>
      <i/>
      <sz val="11"/>
      <color theme="1" tint="0.34998626667073579"/>
      <name val="Courier New"/>
      <family val="3"/>
    </font>
    <font>
      <i/>
      <sz val="11"/>
      <color theme="1" tint="0.34998626667073579"/>
      <name val="Courier New"/>
      <family val="3"/>
    </font>
    <font>
      <sz val="12"/>
      <color theme="0" tint="-0.499984740745262"/>
      <name val="Courier New"/>
      <family val="3"/>
    </font>
    <font>
      <i/>
      <sz val="10"/>
      <color theme="1" tint="0.34998626667073579"/>
      <name val="Courier New"/>
      <family val="3"/>
    </font>
    <font>
      <sz val="11"/>
      <color theme="1" tint="0.34998626667073579"/>
      <name val="Courier New"/>
      <family val="3"/>
    </font>
    <font>
      <b/>
      <sz val="24"/>
      <color rgb="FF6C6F5D"/>
      <name val="Century Gothic"/>
      <family val="2"/>
    </font>
    <font>
      <sz val="12"/>
      <color rgb="FF6C6F5D"/>
      <name val="Calibri"/>
      <family val="2"/>
      <scheme val="minor"/>
    </font>
    <font>
      <b/>
      <i/>
      <sz val="9"/>
      <color theme="1" tint="0.34998626667073579"/>
      <name val="Calibri"/>
      <family val="2"/>
      <scheme val="minor"/>
    </font>
    <font>
      <b/>
      <sz val="11"/>
      <color theme="1" tint="0.34998626667073579"/>
      <name val="Century Gothic"/>
      <family val="2"/>
    </font>
    <font>
      <sz val="9"/>
      <color theme="1" tint="0.34998626667073579"/>
      <name val="Century Gothic"/>
      <family val="2"/>
    </font>
    <font>
      <i/>
      <sz val="14"/>
      <color theme="1" tint="0.34998626667073579"/>
      <name val="Calibri"/>
      <family val="2"/>
      <scheme val="minor"/>
    </font>
    <font>
      <b/>
      <sz val="11"/>
      <color theme="1" tint="0.34998626667073579"/>
      <name val="Calibri"/>
      <family val="2"/>
      <scheme val="minor"/>
    </font>
    <font>
      <b/>
      <sz val="22"/>
      <color theme="1" tint="0.249977111117893"/>
      <name val="Century Gothic"/>
      <family val="2"/>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ECF4D6"/>
        <bgColor indexed="64"/>
      </patternFill>
    </fill>
    <fill>
      <patternFill patternType="solid">
        <fgColor rgb="FF9AD0C2"/>
        <bgColor indexed="64"/>
      </patternFill>
    </fill>
    <fill>
      <patternFill patternType="solid">
        <fgColor theme="0"/>
        <bgColor indexed="64"/>
      </patternFill>
    </fill>
    <fill>
      <patternFill patternType="solid">
        <fgColor rgb="FFF8FBEF"/>
        <bgColor indexed="64"/>
      </patternFill>
    </fill>
    <fill>
      <patternFill patternType="solid">
        <fgColor rgb="FFF3F8E4"/>
        <bgColor indexed="64"/>
      </patternFill>
    </fill>
    <fill>
      <patternFill patternType="solid">
        <fgColor theme="0" tint="-4.9989318521683403E-2"/>
        <bgColor indexed="64"/>
      </patternFill>
    </fill>
  </fills>
  <borders count="23">
    <border>
      <left/>
      <right/>
      <top/>
      <bottom/>
      <diagonal/>
    </border>
    <border>
      <left/>
      <right/>
      <top/>
      <bottom style="thin">
        <color theme="4" tint="0.39997558519241921"/>
      </bottom>
      <diagonal/>
    </border>
    <border>
      <left/>
      <right/>
      <top style="thin">
        <color theme="4" tint="0.39997558519241921"/>
      </top>
      <bottom/>
      <diagonal/>
    </border>
    <border>
      <left/>
      <right/>
      <top style="thin">
        <color theme="4" tint="0.39997558519241921"/>
      </top>
      <bottom style="thin">
        <color theme="4" tint="0.39997558519241921"/>
      </bottom>
      <diagonal/>
    </border>
    <border>
      <left/>
      <right/>
      <top/>
      <bottom style="thin">
        <color theme="0" tint="-0.24994659260841701"/>
      </bottom>
      <diagonal/>
    </border>
    <border>
      <left/>
      <right/>
      <top style="thin">
        <color theme="0" tint="-0.249977111117893"/>
      </top>
      <bottom/>
      <diagonal/>
    </border>
    <border>
      <left/>
      <right/>
      <top/>
      <bottom style="thin">
        <color theme="0" tint="-0.249977111117893"/>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right/>
      <top style="thin">
        <color theme="0" tint="-0.24994659260841701"/>
      </top>
      <bottom/>
      <diagonal/>
    </border>
    <border>
      <left style="thin">
        <color theme="0" tint="-0.24994659260841701"/>
      </left>
      <right style="thin">
        <color theme="0" tint="-0.24994659260841701"/>
      </right>
      <top/>
      <bottom/>
      <diagonal/>
    </border>
    <border>
      <left/>
      <right/>
      <top/>
      <bottom style="medium">
        <color indexed="64"/>
      </bottom>
      <diagonal/>
    </border>
    <border>
      <left/>
      <right style="thin">
        <color theme="1" tint="0.34998626667073579"/>
      </right>
      <top/>
      <bottom/>
      <diagonal/>
    </border>
    <border>
      <left/>
      <right/>
      <top style="thin">
        <color theme="0" tint="-0.249977111117893"/>
      </top>
      <bottom style="thin">
        <color theme="0" tint="-0.24994659260841701"/>
      </bottom>
      <diagonal/>
    </border>
    <border>
      <left style="thin">
        <color indexed="64"/>
      </left>
      <right/>
      <top/>
      <bottom/>
      <diagonal/>
    </border>
    <border>
      <left/>
      <right/>
      <top style="thin">
        <color theme="0" tint="-0.34998626667073579"/>
      </top>
      <bottom style="thin">
        <color theme="0" tint="-0.34998626667073579"/>
      </bottom>
      <diagonal/>
    </border>
    <border>
      <left/>
      <right/>
      <top style="thin">
        <color theme="0" tint="-0.34998626667073579"/>
      </top>
      <bottom/>
      <diagonal/>
    </border>
    <border>
      <left/>
      <right/>
      <top/>
      <bottom style="thin">
        <color theme="0" tint="-0.14996795556505021"/>
      </bottom>
      <diagonal/>
    </border>
    <border>
      <left/>
      <right/>
      <top style="thin">
        <color theme="0" tint="-0.249977111117893"/>
      </top>
      <bottom style="thin">
        <color theme="0" tint="-0.14996795556505021"/>
      </bottom>
      <diagonal/>
    </border>
  </borders>
  <cellStyleXfs count="3">
    <xf numFmtId="0" fontId="0" fillId="0" borderId="0"/>
    <xf numFmtId="44" fontId="7" fillId="0" borderId="0" applyFont="0" applyFill="0" applyBorder="0" applyAlignment="0" applyProtection="0"/>
    <xf numFmtId="43" fontId="7" fillId="0" borderId="0" applyFont="0" applyFill="0" applyBorder="0" applyAlignment="0" applyProtection="0"/>
  </cellStyleXfs>
  <cellXfs count="151">
    <xf numFmtId="0" fontId="0" fillId="0" borderId="0" xfId="0"/>
    <xf numFmtId="49" fontId="0" fillId="0" borderId="0" xfId="0" applyNumberFormat="1"/>
    <xf numFmtId="164" fontId="0" fillId="0" borderId="0" xfId="0" applyNumberFormat="1"/>
    <xf numFmtId="165" fontId="0" fillId="0" borderId="0" xfId="0" applyNumberFormat="1"/>
    <xf numFmtId="14" fontId="0" fillId="0" borderId="0" xfId="0" applyNumberFormat="1"/>
    <xf numFmtId="18" fontId="0" fillId="0" borderId="0" xfId="0" applyNumberFormat="1"/>
    <xf numFmtId="49" fontId="2" fillId="2" borderId="1" xfId="0" applyNumberFormat="1" applyFont="1" applyFill="1" applyBorder="1"/>
    <xf numFmtId="0" fontId="2" fillId="2" borderId="1" xfId="0" applyFont="1" applyFill="1" applyBorder="1"/>
    <xf numFmtId="165" fontId="2" fillId="2" borderId="1" xfId="0" applyNumberFormat="1" applyFont="1" applyFill="1" applyBorder="1"/>
    <xf numFmtId="18" fontId="2" fillId="2" borderId="1" xfId="0" applyNumberFormat="1" applyFont="1" applyFill="1" applyBorder="1"/>
    <xf numFmtId="49" fontId="0" fillId="3" borderId="2" xfId="0" applyNumberFormat="1" applyFill="1" applyBorder="1"/>
    <xf numFmtId="0" fontId="0" fillId="3" borderId="2" xfId="0" applyFill="1" applyBorder="1"/>
    <xf numFmtId="0" fontId="0" fillId="3" borderId="0" xfId="0" applyFill="1"/>
    <xf numFmtId="165" fontId="0" fillId="3" borderId="2" xfId="0" applyNumberFormat="1" applyFill="1" applyBorder="1"/>
    <xf numFmtId="18" fontId="0" fillId="3" borderId="2" xfId="0" applyNumberFormat="1" applyFill="1" applyBorder="1"/>
    <xf numFmtId="166" fontId="0" fillId="0" borderId="0" xfId="0" applyNumberFormat="1"/>
    <xf numFmtId="0" fontId="0" fillId="0" borderId="0" xfId="0" pivotButton="1"/>
    <xf numFmtId="167" fontId="0" fillId="0" borderId="0" xfId="0" applyNumberFormat="1"/>
    <xf numFmtId="168" fontId="2" fillId="2" borderId="1" xfId="0" applyNumberFormat="1" applyFont="1" applyFill="1" applyBorder="1"/>
    <xf numFmtId="168" fontId="0" fillId="3" borderId="0" xfId="0" applyNumberFormat="1" applyFill="1"/>
    <xf numFmtId="168" fontId="0" fillId="0" borderId="0" xfId="0" applyNumberFormat="1"/>
    <xf numFmtId="22" fontId="0" fillId="0" borderId="0" xfId="0" applyNumberFormat="1"/>
    <xf numFmtId="165" fontId="0" fillId="3" borderId="3" xfId="0" applyNumberFormat="1" applyFill="1" applyBorder="1"/>
    <xf numFmtId="0" fontId="3" fillId="0" borderId="0" xfId="0" applyFont="1" applyAlignment="1">
      <alignment horizontal="left" vertical="center"/>
    </xf>
    <xf numFmtId="2" fontId="0" fillId="0" borderId="0" xfId="0" applyNumberFormat="1"/>
    <xf numFmtId="19" fontId="0" fillId="0" borderId="0" xfId="0" applyNumberFormat="1"/>
    <xf numFmtId="0" fontId="2" fillId="2" borderId="0" xfId="0" applyFont="1" applyFill="1"/>
    <xf numFmtId="0" fontId="6" fillId="0" borderId="0" xfId="0" applyFont="1"/>
    <xf numFmtId="18" fontId="2" fillId="2" borderId="0" xfId="0" applyNumberFormat="1" applyFont="1" applyFill="1"/>
    <xf numFmtId="2" fontId="6" fillId="0" borderId="0" xfId="0" applyNumberFormat="1" applyFont="1"/>
    <xf numFmtId="0" fontId="9" fillId="0" borderId="0" xfId="0" applyFont="1"/>
    <xf numFmtId="0" fontId="10" fillId="0" borderId="0" xfId="0" applyFont="1" applyAlignment="1">
      <alignment horizontal="right"/>
    </xf>
    <xf numFmtId="0" fontId="11" fillId="0" borderId="0" xfId="0" applyFont="1" applyAlignment="1">
      <alignment horizontal="right"/>
    </xf>
    <xf numFmtId="0" fontId="10" fillId="0" borderId="6" xfId="0" applyFont="1" applyBorder="1" applyAlignment="1">
      <alignment horizontal="right"/>
    </xf>
    <xf numFmtId="44" fontId="6" fillId="0" borderId="0" xfId="1" applyFont="1"/>
    <xf numFmtId="169" fontId="6" fillId="0" borderId="0" xfId="1" applyNumberFormat="1" applyFont="1"/>
    <xf numFmtId="0" fontId="12" fillId="0" borderId="14" xfId="0" applyFont="1" applyBorder="1"/>
    <xf numFmtId="44" fontId="12" fillId="0" borderId="14" xfId="1" applyFont="1" applyBorder="1"/>
    <xf numFmtId="2" fontId="12" fillId="0" borderId="14" xfId="0" applyNumberFormat="1" applyFont="1" applyBorder="1"/>
    <xf numFmtId="169" fontId="12" fillId="0" borderId="14" xfId="1" applyNumberFormat="1" applyFont="1" applyBorder="1"/>
    <xf numFmtId="0" fontId="0" fillId="0" borderId="0" xfId="0" applyAlignment="1">
      <alignment horizontal="left"/>
    </xf>
    <xf numFmtId="170" fontId="0" fillId="0" borderId="0" xfId="0" applyNumberFormat="1"/>
    <xf numFmtId="0" fontId="0" fillId="0" borderId="0" xfId="0" applyAlignment="1">
      <alignment horizontal="left" indent="1"/>
    </xf>
    <xf numFmtId="0" fontId="13" fillId="0" borderId="0" xfId="0" applyFont="1"/>
    <xf numFmtId="0" fontId="0" fillId="0" borderId="0" xfId="0" applyAlignment="1">
      <alignment horizontal="left" indent="2"/>
    </xf>
    <xf numFmtId="0" fontId="14" fillId="0" borderId="0" xfId="0" pivotButton="1" applyFont="1"/>
    <xf numFmtId="0" fontId="14" fillId="0" borderId="0" xfId="0" applyFont="1"/>
    <xf numFmtId="0" fontId="0" fillId="0" borderId="0" xfId="0" applyAlignment="1">
      <alignment horizontal="center"/>
    </xf>
    <xf numFmtId="0" fontId="0" fillId="0" borderId="0" xfId="0" quotePrefix="1" applyAlignment="1">
      <alignment horizontal="center"/>
    </xf>
    <xf numFmtId="0" fontId="15" fillId="0" borderId="0" xfId="0" applyFont="1" applyAlignment="1">
      <alignment horizontal="center"/>
    </xf>
    <xf numFmtId="0" fontId="21" fillId="0" borderId="0" xfId="0" applyFont="1"/>
    <xf numFmtId="0" fontId="17" fillId="0" borderId="0" xfId="0" applyFont="1"/>
    <xf numFmtId="0" fontId="22" fillId="0" borderId="0" xfId="0" applyFont="1" applyAlignment="1">
      <alignment horizontal="right"/>
    </xf>
    <xf numFmtId="0" fontId="20" fillId="0" borderId="15" xfId="0" applyFont="1" applyBorder="1" applyAlignment="1">
      <alignment vertical="center"/>
    </xf>
    <xf numFmtId="0" fontId="18" fillId="0" borderId="0" xfId="0" applyFont="1" applyAlignment="1">
      <alignment horizontal="left" vertical="top" wrapText="1"/>
    </xf>
    <xf numFmtId="0" fontId="18" fillId="0" borderId="0" xfId="0" applyFont="1" applyAlignment="1">
      <alignment horizontal="left" vertical="top"/>
    </xf>
    <xf numFmtId="0" fontId="23" fillId="0" borderId="0" xfId="0" applyFont="1" applyAlignment="1">
      <alignment horizontal="right"/>
    </xf>
    <xf numFmtId="0" fontId="26" fillId="0" borderId="0" xfId="0" applyFont="1" applyAlignment="1">
      <alignment horizontal="right"/>
    </xf>
    <xf numFmtId="171" fontId="27" fillId="0" borderId="0" xfId="0" applyNumberFormat="1" applyFont="1" applyAlignment="1">
      <alignment horizontal="right"/>
    </xf>
    <xf numFmtId="0" fontId="17" fillId="0" borderId="0" xfId="0" quotePrefix="1" applyFont="1" applyAlignment="1">
      <alignment horizontal="center" vertical="center"/>
    </xf>
    <xf numFmtId="0" fontId="17" fillId="0" borderId="0" xfId="0" applyFont="1" applyAlignment="1">
      <alignment horizontal="center" vertical="center"/>
    </xf>
    <xf numFmtId="0" fontId="20" fillId="0" borderId="0" xfId="0" applyFont="1" applyAlignment="1">
      <alignment horizontal="left"/>
    </xf>
    <xf numFmtId="173" fontId="30" fillId="0" borderId="0" xfId="2" applyNumberFormat="1" applyFont="1" applyAlignment="1">
      <alignment horizontal="left" vertical="top"/>
    </xf>
    <xf numFmtId="0" fontId="11" fillId="0" borderId="0" xfId="0" applyFont="1" applyBorder="1" applyAlignment="1">
      <alignment horizontal="left"/>
    </xf>
    <xf numFmtId="0" fontId="9" fillId="0" borderId="0" xfId="0" applyFont="1" applyAlignment="1">
      <alignment horizontal="left"/>
    </xf>
    <xf numFmtId="0" fontId="10" fillId="0" borderId="16" xfId="0" applyFont="1" applyBorder="1" applyAlignment="1">
      <alignment horizontal="right" vertical="center" wrapText="1"/>
    </xf>
    <xf numFmtId="0" fontId="11" fillId="0" borderId="16" xfId="0" applyFont="1" applyBorder="1" applyAlignment="1">
      <alignment horizontal="right" vertical="center"/>
    </xf>
    <xf numFmtId="0" fontId="8" fillId="0" borderId="5" xfId="0" applyFont="1" applyBorder="1" applyAlignment="1">
      <alignment horizontal="right"/>
    </xf>
    <xf numFmtId="0" fontId="33" fillId="0" borderId="6" xfId="0" applyFont="1" applyBorder="1" applyAlignment="1">
      <alignment horizontal="right"/>
    </xf>
    <xf numFmtId="0" fontId="8" fillId="0" borderId="17" xfId="0" applyFont="1" applyBorder="1" applyAlignment="1">
      <alignment horizontal="right"/>
    </xf>
    <xf numFmtId="164" fontId="10" fillId="0" borderId="17" xfId="0" applyNumberFormat="1" applyFont="1" applyBorder="1" applyAlignment="1">
      <alignment horizontal="right"/>
    </xf>
    <xf numFmtId="0" fontId="9" fillId="0" borderId="0" xfId="0" applyFont="1" applyBorder="1"/>
    <xf numFmtId="2" fontId="12" fillId="0" borderId="14" xfId="1" applyNumberFormat="1" applyFont="1" applyBorder="1"/>
    <xf numFmtId="2" fontId="6" fillId="0" borderId="0" xfId="1" applyNumberFormat="1" applyFont="1"/>
    <xf numFmtId="0" fontId="6" fillId="0" borderId="0" xfId="0" applyFont="1" applyAlignment="1">
      <alignment horizontal="right"/>
    </xf>
    <xf numFmtId="0" fontId="0" fillId="0" borderId="0" xfId="0" applyNumberFormat="1"/>
    <xf numFmtId="0" fontId="15" fillId="0" borderId="4" xfId="0" applyFont="1" applyBorder="1" applyAlignment="1">
      <alignment horizontal="center"/>
    </xf>
    <xf numFmtId="0" fontId="37" fillId="0" borderId="16" xfId="0" applyFont="1" applyBorder="1" applyAlignment="1">
      <alignment horizontal="right" vertical="center"/>
    </xf>
    <xf numFmtId="0" fontId="6" fillId="0" borderId="0" xfId="0" applyNumberFormat="1" applyFont="1"/>
    <xf numFmtId="44" fontId="6" fillId="0" borderId="0" xfId="1" applyNumberFormat="1" applyFont="1"/>
    <xf numFmtId="0" fontId="0" fillId="0" borderId="18" xfId="0" applyBorder="1"/>
    <xf numFmtId="0" fontId="13" fillId="0" borderId="18" xfId="0" applyFont="1" applyBorder="1"/>
    <xf numFmtId="0" fontId="0" fillId="0" borderId="0" xfId="0" quotePrefix="1"/>
    <xf numFmtId="18" fontId="2" fillId="2" borderId="0" xfId="0" applyNumberFormat="1" applyFont="1" applyFill="1" applyBorder="1"/>
    <xf numFmtId="0" fontId="18" fillId="0" borderId="0" xfId="0" applyFont="1" applyBorder="1" applyAlignment="1">
      <alignment horizontal="left" vertical="top" wrapText="1"/>
    </xf>
    <xf numFmtId="0" fontId="11" fillId="0" borderId="0" xfId="0" applyFont="1" applyBorder="1" applyAlignment="1">
      <alignment horizontal="left" vertical="center"/>
    </xf>
    <xf numFmtId="0" fontId="0" fillId="0" borderId="0" xfId="0" applyBorder="1"/>
    <xf numFmtId="0" fontId="8" fillId="0" borderId="4" xfId="0" applyFont="1" applyBorder="1" applyAlignment="1">
      <alignment horizontal="right"/>
    </xf>
    <xf numFmtId="0" fontId="33" fillId="0" borderId="4" xfId="0" applyFont="1" applyBorder="1" applyAlignment="1">
      <alignment horizontal="right"/>
    </xf>
    <xf numFmtId="0" fontId="11" fillId="0" borderId="19" xfId="0" applyFont="1" applyBorder="1" applyAlignment="1">
      <alignment horizontal="left" vertical="top" wrapText="1"/>
    </xf>
    <xf numFmtId="0" fontId="9" fillId="0" borderId="19" xfId="0" applyFont="1" applyBorder="1"/>
    <xf numFmtId="0" fontId="33" fillId="0" borderId="0" xfId="0" applyFont="1" applyBorder="1" applyAlignment="1">
      <alignment horizontal="right"/>
    </xf>
    <xf numFmtId="0" fontId="10" fillId="0" borderId="20" xfId="0" applyFont="1" applyBorder="1" applyAlignment="1">
      <alignment horizontal="left"/>
    </xf>
    <xf numFmtId="0" fontId="11" fillId="0" borderId="20" xfId="0" applyFont="1" applyBorder="1" applyAlignment="1">
      <alignment horizontal="left"/>
    </xf>
    <xf numFmtId="0" fontId="9" fillId="0" borderId="20" xfId="0" applyFont="1" applyBorder="1"/>
    <xf numFmtId="0" fontId="0" fillId="0" borderId="20" xfId="0" applyBorder="1"/>
    <xf numFmtId="0" fontId="8" fillId="0" borderId="0" xfId="0" applyFont="1" applyBorder="1" applyAlignment="1">
      <alignment horizontal="right"/>
    </xf>
    <xf numFmtId="0" fontId="8" fillId="0" borderId="22" xfId="0" applyFont="1" applyBorder="1" applyAlignment="1">
      <alignment horizontal="right"/>
    </xf>
    <xf numFmtId="0" fontId="33" fillId="0" borderId="21" xfId="0" applyFont="1" applyBorder="1" applyAlignment="1">
      <alignment horizontal="right"/>
    </xf>
    <xf numFmtId="0" fontId="10" fillId="0" borderId="0" xfId="0" applyNumberFormat="1" applyFont="1" applyBorder="1" applyAlignment="1">
      <alignment horizontal="right"/>
    </xf>
    <xf numFmtId="0" fontId="10" fillId="0" borderId="22" xfId="0" applyNumberFormat="1" applyFont="1" applyBorder="1" applyAlignment="1">
      <alignment horizontal="right"/>
    </xf>
    <xf numFmtId="166" fontId="10" fillId="0" borderId="17" xfId="0" applyNumberFormat="1" applyFont="1" applyBorder="1" applyAlignment="1">
      <alignment horizontal="right"/>
    </xf>
    <xf numFmtId="0" fontId="31" fillId="8" borderId="0" xfId="0" applyFont="1" applyFill="1" applyBorder="1" applyAlignment="1">
      <alignment horizontal="center"/>
    </xf>
    <xf numFmtId="0" fontId="11" fillId="7" borderId="0" xfId="0" applyFont="1" applyFill="1" applyAlignment="1">
      <alignment horizontal="center" vertical="center" wrapText="1"/>
    </xf>
    <xf numFmtId="0" fontId="32" fillId="0" borderId="19" xfId="0" applyFont="1" applyBorder="1" applyAlignment="1">
      <alignment horizontal="right" vertical="center"/>
    </xf>
    <xf numFmtId="0" fontId="12" fillId="0" borderId="7" xfId="0" applyFont="1" applyBorder="1" applyAlignment="1">
      <alignment horizontal="right" vertical="center"/>
    </xf>
    <xf numFmtId="0" fontId="12" fillId="0" borderId="13" xfId="0" applyFont="1" applyBorder="1" applyAlignment="1">
      <alignment horizontal="right" vertical="center"/>
    </xf>
    <xf numFmtId="0" fontId="12" fillId="0" borderId="8" xfId="0" applyFont="1" applyBorder="1" applyAlignment="1">
      <alignment horizontal="right" vertical="center"/>
    </xf>
    <xf numFmtId="0" fontId="12" fillId="0" borderId="9" xfId="0" applyFont="1" applyBorder="1" applyAlignment="1">
      <alignment horizontal="right" vertical="center"/>
    </xf>
    <xf numFmtId="0" fontId="12" fillId="0" borderId="4" xfId="0" applyFont="1" applyBorder="1" applyAlignment="1">
      <alignment horizontal="right" vertical="center"/>
    </xf>
    <xf numFmtId="0" fontId="12" fillId="0" borderId="10" xfId="0" applyFont="1" applyBorder="1" applyAlignment="1">
      <alignment horizontal="right" vertical="center"/>
    </xf>
    <xf numFmtId="0" fontId="36" fillId="0" borderId="7" xfId="0" applyFont="1" applyBorder="1" applyAlignment="1">
      <alignment horizontal="center" vertical="center"/>
    </xf>
    <xf numFmtId="0" fontId="36" fillId="0" borderId="13" xfId="0" applyFont="1" applyBorder="1" applyAlignment="1">
      <alignment horizontal="center" vertical="center"/>
    </xf>
    <xf numFmtId="0" fontId="36" fillId="0" borderId="8" xfId="0" applyFont="1" applyBorder="1" applyAlignment="1">
      <alignment horizontal="center" vertical="center"/>
    </xf>
    <xf numFmtId="0" fontId="36" fillId="0" borderId="9" xfId="0" applyFont="1" applyBorder="1" applyAlignment="1">
      <alignment horizontal="center" vertical="center"/>
    </xf>
    <xf numFmtId="0" fontId="36" fillId="0" borderId="4" xfId="0" applyFont="1" applyBorder="1" applyAlignment="1">
      <alignment horizontal="center" vertical="center"/>
    </xf>
    <xf numFmtId="0" fontId="36" fillId="0" borderId="10" xfId="0" applyFont="1" applyBorder="1" applyAlignment="1">
      <alignment horizontal="center" vertical="center"/>
    </xf>
    <xf numFmtId="0" fontId="35" fillId="0" borderId="0" xfId="0" applyFont="1" applyAlignment="1">
      <alignment horizontal="center" wrapText="1"/>
    </xf>
    <xf numFmtId="169" fontId="12" fillId="0" borderId="11" xfId="0" applyNumberFormat="1" applyFont="1" applyBorder="1" applyAlignment="1">
      <alignment horizontal="center" vertical="center"/>
    </xf>
    <xf numFmtId="169" fontId="12" fillId="0" borderId="12" xfId="0" applyNumberFormat="1" applyFont="1" applyBorder="1" applyAlignment="1">
      <alignment horizontal="center" vertical="center"/>
    </xf>
    <xf numFmtId="0" fontId="34" fillId="9" borderId="7" xfId="0" applyFont="1" applyFill="1" applyBorder="1" applyAlignment="1">
      <alignment horizontal="right" vertical="center"/>
    </xf>
    <xf numFmtId="0" fontId="34" fillId="9" borderId="13" xfId="0" applyFont="1" applyFill="1" applyBorder="1" applyAlignment="1">
      <alignment horizontal="right" vertical="center"/>
    </xf>
    <xf numFmtId="0" fontId="34" fillId="9" borderId="8" xfId="0" applyFont="1" applyFill="1" applyBorder="1" applyAlignment="1">
      <alignment horizontal="right" vertical="center"/>
    </xf>
    <xf numFmtId="0" fontId="34" fillId="9" borderId="9" xfId="0" applyFont="1" applyFill="1" applyBorder="1" applyAlignment="1">
      <alignment horizontal="right" vertical="center"/>
    </xf>
    <xf numFmtId="0" fontId="34" fillId="9" borderId="4" xfId="0" applyFont="1" applyFill="1" applyBorder="1" applyAlignment="1">
      <alignment horizontal="right" vertical="center"/>
    </xf>
    <xf numFmtId="0" fontId="34" fillId="9" borderId="10" xfId="0" applyFont="1" applyFill="1" applyBorder="1" applyAlignment="1">
      <alignment horizontal="right" vertical="center"/>
    </xf>
    <xf numFmtId="171" fontId="34" fillId="9" borderId="11" xfId="0" applyNumberFormat="1" applyFont="1" applyFill="1" applyBorder="1" applyAlignment="1">
      <alignment horizontal="center" vertical="center"/>
    </xf>
    <xf numFmtId="171" fontId="34" fillId="9" borderId="12" xfId="0" applyNumberFormat="1" applyFont="1" applyFill="1" applyBorder="1" applyAlignment="1">
      <alignment horizontal="center" vertical="center"/>
    </xf>
    <xf numFmtId="0" fontId="23" fillId="0" borderId="0" xfId="0" applyFont="1" applyAlignment="1">
      <alignment horizontal="right"/>
    </xf>
    <xf numFmtId="0" fontId="16" fillId="0" borderId="0" xfId="0" applyFont="1" applyAlignment="1">
      <alignment horizontal="center" vertical="top" wrapText="1"/>
    </xf>
    <xf numFmtId="0" fontId="30" fillId="0" borderId="0" xfId="0" applyFont="1" applyAlignment="1">
      <alignment horizontal="left"/>
    </xf>
    <xf numFmtId="0" fontId="18" fillId="0" borderId="0" xfId="0" applyFont="1" applyBorder="1" applyAlignment="1">
      <alignment horizontal="left" vertical="top" wrapText="1"/>
    </xf>
    <xf numFmtId="0" fontId="20" fillId="0" borderId="15" xfId="0" applyFont="1" applyBorder="1" applyAlignment="1">
      <alignment horizontal="right" vertical="center"/>
    </xf>
    <xf numFmtId="171" fontId="24" fillId="0" borderId="0" xfId="0" applyNumberFormat="1" applyFont="1" applyAlignment="1">
      <alignment horizontal="center"/>
    </xf>
    <xf numFmtId="0" fontId="28" fillId="0" borderId="0" xfId="0" quotePrefix="1" applyFont="1" applyAlignment="1">
      <alignment horizontal="center" vertical="center" wrapText="1"/>
    </xf>
    <xf numFmtId="0" fontId="17" fillId="0" borderId="0" xfId="0" applyFont="1" applyAlignment="1">
      <alignment horizontal="center"/>
    </xf>
    <xf numFmtId="0" fontId="17" fillId="0" borderId="0" xfId="0" quotePrefix="1" applyFont="1" applyAlignment="1">
      <alignment horizontal="center" vertical="center"/>
    </xf>
    <xf numFmtId="0" fontId="17" fillId="0" borderId="0" xfId="0" applyFont="1" applyAlignment="1">
      <alignment horizontal="center" vertical="center"/>
    </xf>
    <xf numFmtId="164" fontId="30" fillId="0" borderId="0" xfId="0" applyNumberFormat="1" applyFont="1" applyAlignment="1">
      <alignment horizontal="left" vertical="center"/>
    </xf>
    <xf numFmtId="0" fontId="16" fillId="0" borderId="0" xfId="0" applyFont="1" applyAlignment="1">
      <alignment horizontal="center"/>
    </xf>
    <xf numFmtId="172" fontId="30" fillId="0" borderId="0" xfId="0" applyNumberFormat="1" applyFont="1" applyAlignment="1">
      <alignment horizontal="left" vertical="center"/>
    </xf>
    <xf numFmtId="169" fontId="24" fillId="0" borderId="0" xfId="0" applyNumberFormat="1" applyFont="1" applyAlignment="1">
      <alignment horizontal="center"/>
    </xf>
    <xf numFmtId="0" fontId="25" fillId="0" borderId="0" xfId="0" applyFont="1" applyAlignment="1">
      <alignment horizontal="center"/>
    </xf>
    <xf numFmtId="0" fontId="0" fillId="0" borderId="0" xfId="0" applyAlignment="1">
      <alignment horizontal="center"/>
    </xf>
    <xf numFmtId="0" fontId="19" fillId="0" borderId="0" xfId="0" applyFont="1" applyAlignment="1">
      <alignment horizontal="center"/>
    </xf>
    <xf numFmtId="0" fontId="29" fillId="0" borderId="0" xfId="0" applyFont="1" applyAlignment="1">
      <alignment horizontal="center" vertical="top" wrapText="1"/>
    </xf>
    <xf numFmtId="0" fontId="38" fillId="6" borderId="0" xfId="0" applyFont="1" applyFill="1" applyAlignment="1">
      <alignment horizontal="center" vertical="center"/>
    </xf>
    <xf numFmtId="0" fontId="18" fillId="0" borderId="0" xfId="0" applyFont="1" applyAlignment="1">
      <alignment horizontal="center"/>
    </xf>
    <xf numFmtId="0" fontId="4" fillId="4" borderId="0" xfId="0" applyFont="1" applyFill="1" applyAlignment="1">
      <alignment horizontal="left" vertical="center"/>
    </xf>
    <xf numFmtId="0" fontId="5" fillId="5" borderId="0" xfId="0" applyFont="1" applyFill="1" applyAlignment="1">
      <alignment horizontal="left" vertical="top"/>
    </xf>
    <xf numFmtId="49" fontId="0" fillId="0" borderId="0" xfId="0" applyNumberFormat="1" applyAlignment="1">
      <alignment horizontal="center"/>
    </xf>
  </cellXfs>
  <cellStyles count="3">
    <cellStyle name="Comma" xfId="2" builtinId="3"/>
    <cellStyle name="Currency" xfId="1" builtinId="4"/>
    <cellStyle name="Normal" xfId="0" builtinId="0"/>
  </cellStyles>
  <dxfs count="184">
    <dxf>
      <numFmt numFmtId="2" formatCode="0.00"/>
    </dxf>
    <dxf>
      <numFmt numFmtId="30" formatCode="@"/>
    </dxf>
    <dxf>
      <numFmt numFmtId="30" formatCode="@"/>
    </dxf>
    <dxf>
      <numFmt numFmtId="23" formatCode="h:mm\ AM/PM"/>
    </dxf>
    <dxf>
      <numFmt numFmtId="30" formatCode="@"/>
    </dxf>
    <dxf>
      <numFmt numFmtId="0" formatCode="General"/>
    </dxf>
    <dxf>
      <numFmt numFmtId="2" formatCode="0.00"/>
    </dxf>
    <dxf>
      <numFmt numFmtId="0" formatCode="General"/>
    </dxf>
    <dxf>
      <numFmt numFmtId="0" formatCode="General"/>
    </dxf>
    <dxf>
      <numFmt numFmtId="0" formatCode="General"/>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166" formatCode="[$-F400]h:mm:ss\ AM/PM"/>
    </dxf>
    <dxf>
      <numFmt numFmtId="166" formatCode="[$-F400]h:mm:ss\ AM/PM"/>
    </dxf>
    <dxf>
      <numFmt numFmtId="19" formatCode="m/d/yyyy"/>
    </dxf>
    <dxf>
      <numFmt numFmtId="0" formatCode="General"/>
    </dxf>
    <dxf>
      <numFmt numFmtId="0" formatCode="General"/>
    </dxf>
    <dxf>
      <numFmt numFmtId="168" formatCode="d/mm/yyyy\ hh:mm\ AM/PM;"/>
    </dxf>
    <dxf>
      <numFmt numFmtId="30" formatCode="@"/>
    </dxf>
    <dxf>
      <numFmt numFmtId="30" formatCode="@"/>
    </dxf>
    <dxf>
      <numFmt numFmtId="23" formatCode="h:mm\ AM/PM"/>
    </dxf>
    <dxf>
      <numFmt numFmtId="23" formatCode="h:mm\ AM/PM"/>
    </dxf>
    <dxf>
      <numFmt numFmtId="23" formatCode="h:mm\ AM/PM"/>
    </dxf>
    <dxf>
      <numFmt numFmtId="165" formatCode="dd/mm/yyyy;@"/>
    </dxf>
    <dxf>
      <numFmt numFmtId="30" formatCode="@"/>
    </dxf>
    <dxf>
      <font>
        <b val="0"/>
        <i val="0"/>
        <strike val="0"/>
        <condense val="0"/>
        <extend val="0"/>
        <outline val="0"/>
        <shadow val="0"/>
        <u val="none"/>
        <vertAlign val="baseline"/>
        <sz val="11"/>
        <color theme="1"/>
        <name val="Calibri"/>
        <family val="2"/>
        <scheme val="minor"/>
      </font>
      <numFmt numFmtId="168" formatCode="d/mm/yyyy\ hh:mm\ AM/PM;"/>
      <fill>
        <patternFill patternType="solid">
          <fgColor theme="4" tint="0.79998168889431442"/>
          <bgColor theme="4" tint="0.79998168889431442"/>
        </patternFill>
      </fill>
      <border diagonalUp="0" diagonalDown="0" outline="0">
        <left/>
        <right/>
        <top style="thin">
          <color theme="4" tint="0.39997558519241921"/>
        </top>
        <bottom/>
      </border>
    </dxf>
    <dxf>
      <fill>
        <patternFill patternType="solid">
          <fgColor theme="4" tint="0.79998168889431442"/>
          <bgColor theme="4" tint="0.79998168889431442"/>
        </patternFill>
      </fill>
    </dxf>
    <dxf>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23" formatCode="h:mm\ AM/PM"/>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dd/mm/yyyy;@"/>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23" formatCode="h:mm\ AM/PM"/>
    </dxf>
    <dxf>
      <numFmt numFmtId="165" formatCode="dd/mm/yyyy;@"/>
    </dxf>
    <dxf>
      <numFmt numFmtId="30" formatCode="@"/>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169" formatCode="_-[$$-240A]\ * #,##0.00_-;\-[$$-240A]\ * #,##0.00_-;_-[$$-240A]\ * &quot;-&quot;??_-;_-@_-"/>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2" formatCode="0.00"/>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numFmt numFmtId="2" formatCode="0.00"/>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numFmt numFmtId="34" formatCode="_(&quot;$&quot;* #,##0.00_);_(&quot;$&quot;* \(#,##0.00\);_(&quot;$&quot;* &quot;-&quot;??_);_(@_)"/>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0" formatCode="General"/>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color rgb="FF9C0006"/>
      </font>
      <fill>
        <patternFill>
          <bgColor rgb="FFFFC7CE"/>
        </patternFill>
      </fill>
    </dxf>
    <dxf>
      <font>
        <sz val="10"/>
        <color rgb="FFE5EFF7"/>
        <name val="Century Gothic"/>
        <family val="2"/>
        <scheme val="none"/>
      </font>
      <fill>
        <patternFill>
          <bgColor rgb="FF265073"/>
        </patternFill>
      </fill>
      <border diagonalUp="0" diagonalDown="0">
        <left/>
        <right/>
        <top/>
        <bottom/>
        <vertical/>
        <horizontal/>
      </border>
    </dxf>
    <dxf>
      <font>
        <sz val="8"/>
        <color theme="1" tint="0.34998626667073579"/>
        <name val="Century Gothic"/>
        <family val="2"/>
        <scheme val="none"/>
      </font>
      <border>
        <left style="thin">
          <color theme="0" tint="-0.14996795556505021"/>
        </left>
        <right style="thin">
          <color theme="0" tint="-0.14996795556505021"/>
        </right>
        <top style="thin">
          <color theme="0" tint="-0.14996795556505021"/>
        </top>
        <bottom style="thin">
          <color theme="0" tint="-0.14996795556505021"/>
        </bottom>
        <horizontal style="thin">
          <color theme="0" tint="-0.24994659260841701"/>
        </horizontal>
      </border>
    </dxf>
    <dxf>
      <font>
        <color rgb="FFDFF6F5"/>
      </font>
      <fill>
        <patternFill patternType="none">
          <bgColor auto="1"/>
        </patternFill>
      </fill>
      <border diagonalUp="0" diagonalDown="0">
        <left/>
        <right/>
        <top style="thin">
          <color theme="0" tint="-0.24994659260841701"/>
        </top>
        <bottom/>
        <vertical/>
        <horizontal/>
      </border>
    </dxf>
    <dxf>
      <font>
        <color rgb="FFDFF6F5"/>
      </font>
      <fill>
        <patternFill>
          <bgColor rgb="FF2D9596"/>
        </patternFill>
      </fill>
      <border diagonalUp="0" diagonalDown="0">
        <left/>
        <right/>
        <top/>
        <bottom/>
        <vertical/>
        <horizontal/>
      </border>
    </dxf>
    <dxf>
      <font>
        <color theme="1" tint="0.34998626667073579"/>
      </font>
      <border>
        <left style="thin">
          <color theme="0" tint="-0.24994659260841701"/>
        </left>
        <right style="thin">
          <color theme="0" tint="-0.24994659260841701"/>
        </right>
        <bottom/>
        <vertical style="thin">
          <color theme="0" tint="-0.24994659260841701"/>
        </vertical>
        <horizontal/>
      </border>
    </dxf>
    <dxf>
      <fill>
        <patternFill>
          <bgColor rgb="FFE6EDEE"/>
        </patternFill>
      </fill>
    </dxf>
    <dxf>
      <fill>
        <patternFill>
          <bgColor theme="8"/>
        </patternFill>
      </fill>
    </dxf>
    <dxf>
      <fill>
        <patternFill>
          <bgColor theme="7"/>
        </patternFill>
      </fill>
    </dxf>
    <dxf>
      <font>
        <color rgb="FFDFF6F5"/>
      </font>
      <fill>
        <patternFill>
          <bgColor rgb="FF2D9596"/>
        </patternFill>
      </fill>
    </dxf>
    <dxf>
      <font>
        <strike val="0"/>
        <color rgb="FFDFF6F5"/>
      </font>
      <fill>
        <patternFill>
          <bgColor rgb="FF2D9596"/>
        </patternFill>
      </fill>
    </dxf>
    <dxf>
      <font>
        <color theme="1" tint="0.34998626667073579"/>
      </font>
      <border>
        <bottom style="thin">
          <color theme="0" tint="-0.24994659260841701"/>
        </bottom>
        <horizontal style="thin">
          <color theme="0" tint="-0.24994659260841701"/>
        </horizontal>
      </border>
    </dxf>
  </dxfs>
  <tableStyles count="4" defaultTableStyle="Plastisol-table" defaultPivotStyle="plastisol-1">
    <tableStyle name="plastisol_default" pivot="0" count="0" xr9:uid="{EF5A4A5B-8920-4DB9-814E-93CE9BDE32D3}"/>
    <tableStyle name="plastisol-1" table="0" count="6" xr9:uid="{1BF65A6F-D747-4914-B2AA-8216F3FF0AA7}">
      <tableStyleElement type="wholeTable" dxfId="183"/>
      <tableStyleElement type="headerRow" dxfId="182"/>
      <tableStyleElement type="totalRow" dxfId="181"/>
      <tableStyleElement type="secondColumnSubheading" dxfId="180"/>
      <tableStyleElement type="thirdColumnSubheading" dxfId="179"/>
      <tableStyleElement type="firstRowSubheading" dxfId="178"/>
    </tableStyle>
    <tableStyle name="Plastisol-table" pivot="0" count="3" xr9:uid="{5296B5AC-FA0C-4B3D-9BE6-78D14EB57B17}">
      <tableStyleElement type="wholeTable" dxfId="177"/>
      <tableStyleElement type="headerRow" dxfId="176"/>
      <tableStyleElement type="totalRow" dxfId="175"/>
    </tableStyle>
    <tableStyle name="Slicer Style 1" pivot="0" table="0" count="8" xr9:uid="{F3533DD0-2237-47EA-B006-5DB17769F2AB}">
      <tableStyleElement type="wholeTable" dxfId="174"/>
      <tableStyleElement type="headerRow" dxfId="173"/>
    </tableStyle>
  </tableStyles>
  <colors>
    <mruColors>
      <color rgb="FF6AB466"/>
      <color rgb="FF2D7F2F"/>
      <color rgb="FF265073"/>
      <color rgb="FF3657C0"/>
      <color rgb="FF1C76DA"/>
      <color rgb="FF1B527F"/>
      <color rgb="FFEB4747"/>
      <color rgb="FF8F1D1D"/>
      <color rgb="FF1B917B"/>
      <color rgb="FFF8FBEF"/>
    </mruColors>
  </colors>
  <extLst>
    <ext xmlns:x14="http://schemas.microsoft.com/office/spreadsheetml/2009/9/main" uri="{46F421CA-312F-682f-3DD2-61675219B42D}">
      <x14:dxfs count="6">
        <dxf>
          <font>
            <color theme="0" tint="-0.499984740745262"/>
          </font>
        </dxf>
        <dxf>
          <font>
            <color theme="0" tint="-0.14996795556505021"/>
          </font>
        </dxf>
        <dxf>
          <fill>
            <patternFill>
              <bgColor rgb="FFB7D1E7"/>
            </patternFill>
          </fill>
          <border diagonalUp="0" diagonalDown="0">
            <left/>
            <right/>
            <top/>
            <bottom/>
            <vertical/>
            <horizontal/>
          </border>
        </dxf>
        <dxf>
          <fill>
            <patternFill>
              <bgColor rgb="FFB7D1E7"/>
            </patternFill>
          </fill>
          <border diagonalUp="0" diagonalDown="0">
            <left/>
            <right/>
            <top/>
            <bottom/>
            <vertical/>
            <horizontal/>
          </border>
        </dxf>
        <dxf>
          <font>
            <color theme="1" tint="0.24994659260841701"/>
          </font>
          <fill>
            <patternFill>
              <bgColor rgb="FF84B1D6"/>
            </patternFill>
          </fill>
          <border diagonalUp="0" diagonalDown="0">
            <left/>
            <right/>
            <top/>
            <bottom/>
            <vertical/>
            <horizontal/>
          </border>
        </dxf>
        <dxf>
          <fill>
            <patternFill>
              <bgColor theme="0" tint="-4.9989318521683403E-2"/>
            </patternFill>
          </fill>
          <border diagonalUp="0" diagonalDown="0">
            <left/>
            <right/>
            <top/>
            <bottom/>
            <vertical/>
            <horizontal/>
          </border>
        </dxf>
      </x14:dxfs>
    </ext>
    <ext xmlns:x14="http://schemas.microsoft.com/office/spreadsheetml/2009/9/main" uri="{EB79DEF2-80B8-43e5-95BD-54CBDDF9020C}">
      <x14:slicerStyles defaultSlicerStyle="Slicer Style 1">
        <x14:slicerStyle name="Slicer Style 1">
          <x14:slicerStyleElements>
            <x14:slicerStyleElement type="unselectedItemWithData" dxfId="5"/>
            <x14:slicerStyleElement type="selectedItemWith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26" Type="http://schemas.openxmlformats.org/officeDocument/2006/relationships/styles" Target="styles.xml"/><Relationship Id="rId39" Type="http://schemas.openxmlformats.org/officeDocument/2006/relationships/customXml" Target="../customXml/item10.xml"/><Relationship Id="rId21" Type="http://schemas.microsoft.com/office/2007/relationships/slicerCache" Target="slicerCaches/slicerCache3.xml"/><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9" Type="http://schemas.openxmlformats.org/officeDocument/2006/relationships/calcChain" Target="calcChain.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07/relationships/slicerCache" Target="slicerCaches/slicerCache5.xml"/><Relationship Id="rId28" Type="http://schemas.openxmlformats.org/officeDocument/2006/relationships/powerPivotData" Target="model/item.data"/><Relationship Id="rId36" Type="http://schemas.openxmlformats.org/officeDocument/2006/relationships/customXml" Target="../customXml/item7.xml"/><Relationship Id="rId49" Type="http://schemas.openxmlformats.org/officeDocument/2006/relationships/customXml" Target="../customXml/item20.xml"/><Relationship Id="rId10" Type="http://schemas.openxmlformats.org/officeDocument/2006/relationships/worksheet" Target="worksheets/sheet10.xml"/><Relationship Id="rId19" Type="http://schemas.microsoft.com/office/2007/relationships/slicerCache" Target="slicerCaches/slicerCache1.xml"/><Relationship Id="rId31" Type="http://schemas.openxmlformats.org/officeDocument/2006/relationships/customXml" Target="../customXml/item2.xml"/><Relationship Id="rId44" Type="http://schemas.openxmlformats.org/officeDocument/2006/relationships/customXml" Target="../customXml/item1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4.xml"/><Relationship Id="rId27" Type="http://schemas.openxmlformats.org/officeDocument/2006/relationships/sharedStrings" Target="sharedStrings.xml"/><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48" Type="http://schemas.openxmlformats.org/officeDocument/2006/relationships/customXml" Target="../customXml/item19.xml"/><Relationship Id="rId8" Type="http://schemas.openxmlformats.org/officeDocument/2006/relationships/worksheet" Target="worksheets/sheet8.xml"/><Relationship Id="rId51" Type="http://schemas.microsoft.com/office/2017/10/relationships/person" Target="persons/person.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openxmlformats.org/officeDocument/2006/relationships/connections" Target="connections.xml"/><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20" Type="http://schemas.microsoft.com/office/2007/relationships/slicerCache" Target="slicerCaches/slicerCache2.xml"/><Relationship Id="rId41"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[Inventory.xlsm]VENTAS DIARIO!PivotTable1</c:name>
    <c:fmtId val="0"/>
  </c:pivotSource>
  <c:chart>
    <c:autoTitleDeleted val="1"/>
    <c:pivotFmts>
      <c:pivotFmt>
        <c:idx val="0"/>
        <c:spPr>
          <a:solidFill>
            <a:srgbClr val="2D9596">
              <a:alpha val="4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2D9596">
              <a:alpha val="84000"/>
            </a:srgbClr>
          </a:solidFill>
          <a:ln>
            <a:noFill/>
          </a:ln>
          <a:effectLst/>
        </c:spPr>
        <c:marker>
          <c:symbol val="none"/>
        </c:marke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solidFill>
            <a:srgbClr val="2D9596">
              <a:alpha val="84000"/>
            </a:srgbClr>
          </a:solidFill>
          <a:ln>
            <a:noFill/>
          </a:ln>
          <a:effectLst/>
        </c:spPr>
      </c:pivotFmt>
      <c:pivotFmt>
        <c:idx val="3"/>
        <c:spPr>
          <a:solidFill>
            <a:srgbClr val="2D9596">
              <a:alpha val="84000"/>
            </a:srgbClr>
          </a:solidFill>
          <a:ln>
            <a:noFill/>
          </a:ln>
          <a:effectLst/>
        </c:spPr>
      </c:pivotFmt>
      <c:pivotFmt>
        <c:idx val="4"/>
        <c:spPr>
          <a:solidFill>
            <a:srgbClr val="2D9596">
              <a:alpha val="84000"/>
            </a:srgbClr>
          </a:solidFill>
          <a:ln>
            <a:noFill/>
          </a:ln>
          <a:effectLst/>
        </c:spPr>
      </c:pivotFmt>
      <c:pivotFmt>
        <c:idx val="5"/>
        <c:spPr>
          <a:solidFill>
            <a:srgbClr val="2D9596">
              <a:alpha val="84000"/>
            </a:srgbClr>
          </a:solidFill>
          <a:ln>
            <a:noFill/>
          </a:ln>
          <a:effectLst/>
        </c:spPr>
      </c:pivotFmt>
      <c:pivotFmt>
        <c:idx val="6"/>
        <c:spPr>
          <a:solidFill>
            <a:srgbClr val="2D9596">
              <a:alpha val="84000"/>
            </a:srgbClr>
          </a:solidFill>
          <a:ln>
            <a:noFill/>
          </a:ln>
          <a:effectLst/>
        </c:spPr>
      </c:pivotFmt>
      <c:pivotFmt>
        <c:idx val="7"/>
        <c:spPr>
          <a:solidFill>
            <a:srgbClr val="2D9596">
              <a:alpha val="84000"/>
            </a:srgbClr>
          </a:solidFill>
          <a:ln>
            <a:noFill/>
          </a:ln>
          <a:effectLst/>
        </c:spPr>
      </c:pivotFmt>
      <c:pivotFmt>
        <c:idx val="8"/>
        <c:spPr>
          <a:solidFill>
            <a:srgbClr val="2D9596">
              <a:alpha val="84000"/>
            </a:srgbClr>
          </a:solidFill>
          <a:ln>
            <a:noFill/>
          </a:ln>
          <a:effectLst/>
        </c:spPr>
      </c:pivotFmt>
    </c:pivotFmts>
    <c:plotArea>
      <c:layout/>
      <c:areaChart>
        <c:grouping val="standard"/>
        <c:varyColors val="0"/>
        <c:ser>
          <c:idx val="0"/>
          <c:order val="0"/>
          <c:tx>
            <c:strRef>
              <c:f>'VENTAS DIARIO'!$E$7</c:f>
              <c:strCache>
                <c:ptCount val="1"/>
                <c:pt idx="0">
                  <c:v>UNIDADES</c:v>
                </c:pt>
              </c:strCache>
            </c:strRef>
          </c:tx>
          <c:spPr>
            <a:solidFill>
              <a:srgbClr val="2D9596">
                <a:alpha val="40000"/>
              </a:srgbClr>
            </a:solidFill>
            <a:ln>
              <a:noFill/>
            </a:ln>
            <a:effectLst/>
          </c:spPr>
          <c:cat>
            <c:multiLvlStrRef>
              <c:f>'VENTAS DIARIO'!$D$8:$D$20</c:f>
              <c:multiLvlStrCache>
                <c:ptCount val="7"/>
                <c:lvl>
                  <c:pt idx="0">
                    <c:v>Bolsa polipropileno transp 8x15</c:v>
                  </c:pt>
                  <c:pt idx="1">
                    <c:v>Palillo bamboo 25 cm grueso</c:v>
                  </c:pt>
                  <c:pt idx="2">
                    <c:v>Papel Aluminio 40 metros</c:v>
                  </c:pt>
                  <c:pt idx="3">
                    <c:v>Parafinado disenio rojo rollo 100 metros</c:v>
                  </c:pt>
                  <c:pt idx="4">
                    <c:v>Parafinado negro rollo 100 metros</c:v>
                  </c:pt>
                  <c:pt idx="5">
                    <c:v>Parafinado rojo rollo 100 metros</c:v>
                  </c:pt>
                  <c:pt idx="6">
                    <c:v>Vinipel stress 5x300</c:v>
                  </c:pt>
                </c:lvl>
                <c:lvl>
                  <c:pt idx="0">
                    <c:v>Bolsa Polipropileno</c:v>
                  </c:pt>
                  <c:pt idx="1">
                    <c:v>Palillo Bamboo</c:v>
                  </c:pt>
                  <c:pt idx="2">
                    <c:v>Papel Aluminio</c:v>
                  </c:pt>
                  <c:pt idx="3">
                    <c:v>Parafinado</c:v>
                  </c:pt>
                  <c:pt idx="6">
                    <c:v>VINIPEL</c:v>
                  </c:pt>
                </c:lvl>
              </c:multiLvlStrCache>
            </c:multiLvlStrRef>
          </c:cat>
          <c:val>
            <c:numRef>
              <c:f>'VENTAS DIARIO'!$E$8:$E$20</c:f>
              <c:numCache>
                <c:formatCode>General</c:formatCode>
                <c:ptCount val="7"/>
                <c:pt idx="0">
                  <c:v>20</c:v>
                </c:pt>
                <c:pt idx="1">
                  <c:v>60</c:v>
                </c:pt>
                <c:pt idx="2">
                  <c:v>5</c:v>
                </c:pt>
                <c:pt idx="3">
                  <c:v>62</c:v>
                </c:pt>
                <c:pt idx="4">
                  <c:v>5</c:v>
                </c:pt>
                <c:pt idx="5">
                  <c:v>98</c:v>
                </c:pt>
                <c:pt idx="6">
                  <c:v>5</c:v>
                </c:pt>
              </c:numCache>
            </c:numRef>
          </c:val>
          <c:extLst>
            <c:ext xmlns:c16="http://schemas.microsoft.com/office/drawing/2014/chart" uri="{C3380CC4-5D6E-409C-BE32-E72D297353CC}">
              <c16:uniqueId val="{00000000-A1CB-498B-A979-27B6FA496425}"/>
            </c:ext>
          </c:extLst>
        </c:ser>
        <c:dLbls>
          <c:showLegendKey val="0"/>
          <c:showVal val="0"/>
          <c:showCatName val="0"/>
          <c:showSerName val="0"/>
          <c:showPercent val="0"/>
          <c:showBubbleSize val="0"/>
        </c:dLbls>
        <c:axId val="966833359"/>
        <c:axId val="1041511135"/>
      </c:areaChart>
      <c:barChart>
        <c:barDir val="col"/>
        <c:grouping val="clustered"/>
        <c:varyColors val="0"/>
        <c:ser>
          <c:idx val="1"/>
          <c:order val="1"/>
          <c:tx>
            <c:strRef>
              <c:f>'VENTAS DIARIO'!$F$7</c:f>
              <c:strCache>
                <c:ptCount val="1"/>
                <c:pt idx="0">
                  <c:v>INGRESOS</c:v>
                </c:pt>
              </c:strCache>
            </c:strRef>
          </c:tx>
          <c:spPr>
            <a:solidFill>
              <a:srgbClr val="2D9596">
                <a:alpha val="84000"/>
              </a:srgbClr>
            </a:solidFill>
            <a:ln>
              <a:noFill/>
            </a:ln>
            <a:effectLst/>
          </c:spPr>
          <c:invertIfNegative val="0"/>
          <c:dLbls>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cat>
            <c:multiLvlStrRef>
              <c:f>'VENTAS DIARIO'!$D$8:$D$20</c:f>
              <c:multiLvlStrCache>
                <c:ptCount val="7"/>
                <c:lvl>
                  <c:pt idx="0">
                    <c:v>Bolsa polipropileno transp 8x15</c:v>
                  </c:pt>
                  <c:pt idx="1">
                    <c:v>Palillo bamboo 25 cm grueso</c:v>
                  </c:pt>
                  <c:pt idx="2">
                    <c:v>Papel Aluminio 40 metros</c:v>
                  </c:pt>
                  <c:pt idx="3">
                    <c:v>Parafinado disenio rojo rollo 100 metros</c:v>
                  </c:pt>
                  <c:pt idx="4">
                    <c:v>Parafinado negro rollo 100 metros</c:v>
                  </c:pt>
                  <c:pt idx="5">
                    <c:v>Parafinado rojo rollo 100 metros</c:v>
                  </c:pt>
                  <c:pt idx="6">
                    <c:v>Vinipel stress 5x300</c:v>
                  </c:pt>
                </c:lvl>
                <c:lvl>
                  <c:pt idx="0">
                    <c:v>Bolsa Polipropileno</c:v>
                  </c:pt>
                  <c:pt idx="1">
                    <c:v>Palillo Bamboo</c:v>
                  </c:pt>
                  <c:pt idx="2">
                    <c:v>Papel Aluminio</c:v>
                  </c:pt>
                  <c:pt idx="3">
                    <c:v>Parafinado</c:v>
                  </c:pt>
                  <c:pt idx="6">
                    <c:v>VINIPEL</c:v>
                  </c:pt>
                </c:lvl>
              </c:multiLvlStrCache>
            </c:multiLvlStrRef>
          </c:cat>
          <c:val>
            <c:numRef>
              <c:f>'VENTAS DIARIO'!$F$8:$F$20</c:f>
              <c:numCache>
                <c:formatCode>"$"#,##0</c:formatCode>
                <c:ptCount val="7"/>
                <c:pt idx="0">
                  <c:v>20071.400000000001</c:v>
                </c:pt>
                <c:pt idx="1">
                  <c:v>19558.2</c:v>
                </c:pt>
                <c:pt idx="2">
                  <c:v>2723.15</c:v>
                </c:pt>
                <c:pt idx="3">
                  <c:v>21596.3</c:v>
                </c:pt>
                <c:pt idx="4">
                  <c:v>2891.63</c:v>
                </c:pt>
                <c:pt idx="5">
                  <c:v>49481.31</c:v>
                </c:pt>
                <c:pt idx="6">
                  <c:v>3383.4</c:v>
                </c:pt>
              </c:numCache>
            </c:numRef>
          </c:val>
          <c:extLst>
            <c:ext xmlns:c16="http://schemas.microsoft.com/office/drawing/2014/chart" uri="{C3380CC4-5D6E-409C-BE32-E72D297353CC}">
              <c16:uniqueId val="{00000001-A1CB-498B-A979-27B6FA496425}"/>
            </c:ext>
          </c:extLst>
        </c:ser>
        <c:dLbls>
          <c:showLegendKey val="0"/>
          <c:showVal val="0"/>
          <c:showCatName val="0"/>
          <c:showSerName val="0"/>
          <c:showPercent val="0"/>
          <c:showBubbleSize val="0"/>
        </c:dLbls>
        <c:gapWidth val="294"/>
        <c:overlap val="3"/>
        <c:axId val="1088581007"/>
        <c:axId val="1253571680"/>
      </c:barChart>
      <c:catAx>
        <c:axId val="1088581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253571680"/>
        <c:crossesAt val="0"/>
        <c:auto val="1"/>
        <c:lblAlgn val="ctr"/>
        <c:lblOffset val="100"/>
        <c:noMultiLvlLbl val="0"/>
      </c:catAx>
      <c:valAx>
        <c:axId val="125357168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88581007"/>
        <c:crosses val="autoZero"/>
        <c:crossBetween val="between"/>
      </c:valAx>
      <c:valAx>
        <c:axId val="1041511135"/>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Cantidad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6833359"/>
        <c:crosses val="max"/>
        <c:crossBetween val="between"/>
      </c:valAx>
      <c:catAx>
        <c:axId val="966833359"/>
        <c:scaling>
          <c:orientation val="minMax"/>
        </c:scaling>
        <c:delete val="1"/>
        <c:axPos val="b"/>
        <c:numFmt formatCode="General" sourceLinked="1"/>
        <c:majorTickMark val="out"/>
        <c:minorTickMark val="none"/>
        <c:tickLblPos val="nextTo"/>
        <c:crossAx val="10415111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[Inventory.xlsm]VENTAS DIARIO!PivotTable3</c:name>
    <c:fmtId val="10"/>
  </c:pivotSource>
  <c:chart>
    <c:autoTitleDeleted val="1"/>
    <c:pivotFmts>
      <c:pivotFmt>
        <c:idx val="0"/>
        <c:spPr>
          <a:solidFill>
            <a:srgbClr val="2D9596">
              <a:alpha val="4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2D9596">
              <a:alpha val="84000"/>
            </a:srgbClr>
          </a:solidFill>
          <a:ln>
            <a:noFill/>
          </a:ln>
          <a:effectLst/>
        </c:spPr>
        <c:marker>
          <c:symbol val="none"/>
        </c:marke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5"/>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8"/>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9"/>
        <c:spPr>
          <a:solidFill>
            <a:srgbClr val="2D9596">
              <a:alpha val="4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2D9596">
              <a:alpha val="84000"/>
            </a:srgbClr>
          </a:solidFill>
          <a:ln>
            <a:noFill/>
          </a:ln>
          <a:effectLst/>
        </c:spPr>
        <c:marker>
          <c:symbol val="none"/>
        </c:marke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areaChart>
        <c:grouping val="standard"/>
        <c:varyColors val="0"/>
        <c:ser>
          <c:idx val="0"/>
          <c:order val="0"/>
          <c:tx>
            <c:strRef>
              <c:f>'VENTAS DIARIO'!$P$27</c:f>
              <c:strCache>
                <c:ptCount val="1"/>
                <c:pt idx="0">
                  <c:v>UNIDADES</c:v>
                </c:pt>
              </c:strCache>
            </c:strRef>
          </c:tx>
          <c:spPr>
            <a:solidFill>
              <a:srgbClr val="2D9596">
                <a:alpha val="40000"/>
              </a:srgbClr>
            </a:solidFill>
            <a:ln>
              <a:noFill/>
            </a:ln>
            <a:effectLst/>
          </c:spPr>
          <c:cat>
            <c:multiLvlStrRef>
              <c:f>'VENTAS DIARIO'!$O$28:$O$41</c:f>
              <c:multiLvlStrCache>
                <c:ptCount val="6"/>
                <c:lvl>
                  <c:pt idx="0">
                    <c:v>20-Oct</c:v>
                  </c:pt>
                  <c:pt idx="1">
                    <c:v>25-Oct</c:v>
                  </c:pt>
                  <c:pt idx="2">
                    <c:v>25-Nov</c:v>
                  </c:pt>
                  <c:pt idx="3">
                    <c:v>11-Jan</c:v>
                  </c:pt>
                  <c:pt idx="4">
                    <c:v>7-Feb</c:v>
                  </c:pt>
                  <c:pt idx="5">
                    <c:v>6-Mar</c:v>
                  </c:pt>
                </c:lvl>
                <c:lvl>
                  <c:pt idx="0">
                    <c:v>Oct</c:v>
                  </c:pt>
                  <c:pt idx="2">
                    <c:v>Nov</c:v>
                  </c:pt>
                  <c:pt idx="3">
                    <c:v>Jan</c:v>
                  </c:pt>
                  <c:pt idx="4">
                    <c:v>Feb</c:v>
                  </c:pt>
                  <c:pt idx="5">
                    <c:v>Mar</c:v>
                  </c:pt>
                </c:lvl>
                <c:lvl>
                  <c:pt idx="0">
                    <c:v>2023</c:v>
                  </c:pt>
                  <c:pt idx="3">
                    <c:v>2024</c:v>
                  </c:pt>
                </c:lvl>
              </c:multiLvlStrCache>
            </c:multiLvlStrRef>
          </c:cat>
          <c:val>
            <c:numRef>
              <c:f>'VENTAS DIARIO'!$P$28:$P$41</c:f>
              <c:numCache>
                <c:formatCode>General</c:formatCode>
                <c:ptCount val="6"/>
                <c:pt idx="0">
                  <c:v>3</c:v>
                </c:pt>
                <c:pt idx="1">
                  <c:v>62</c:v>
                </c:pt>
                <c:pt idx="2">
                  <c:v>25</c:v>
                </c:pt>
                <c:pt idx="3">
                  <c:v>8</c:v>
                </c:pt>
                <c:pt idx="4">
                  <c:v>62</c:v>
                </c:pt>
                <c:pt idx="5">
                  <c:v>95</c:v>
                </c:pt>
              </c:numCache>
            </c:numRef>
          </c:val>
          <c:extLst>
            <c:ext xmlns:c16="http://schemas.microsoft.com/office/drawing/2014/chart" uri="{C3380CC4-5D6E-409C-BE32-E72D297353CC}">
              <c16:uniqueId val="{00000000-A1CB-498B-A979-27B6FA496425}"/>
            </c:ext>
          </c:extLst>
        </c:ser>
        <c:dLbls>
          <c:showLegendKey val="0"/>
          <c:showVal val="0"/>
          <c:showCatName val="0"/>
          <c:showSerName val="0"/>
          <c:showPercent val="0"/>
          <c:showBubbleSize val="0"/>
        </c:dLbls>
        <c:axId val="966833359"/>
        <c:axId val="1041511135"/>
      </c:areaChart>
      <c:barChart>
        <c:barDir val="col"/>
        <c:grouping val="clustered"/>
        <c:varyColors val="0"/>
        <c:ser>
          <c:idx val="1"/>
          <c:order val="1"/>
          <c:tx>
            <c:strRef>
              <c:f>'VENTAS DIARIO'!$Q$27</c:f>
              <c:strCache>
                <c:ptCount val="1"/>
                <c:pt idx="0">
                  <c:v>INGRESOS</c:v>
                </c:pt>
              </c:strCache>
            </c:strRef>
          </c:tx>
          <c:spPr>
            <a:solidFill>
              <a:srgbClr val="2D9596">
                <a:alpha val="84000"/>
              </a:srgbClr>
            </a:solidFill>
            <a:ln>
              <a:noFill/>
            </a:ln>
            <a:effectLst/>
          </c:spPr>
          <c:invertIfNegative val="0"/>
          <c:dLbls>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cat>
            <c:multiLvlStrRef>
              <c:f>'VENTAS DIARIO'!$O$28:$O$41</c:f>
              <c:multiLvlStrCache>
                <c:ptCount val="6"/>
                <c:lvl>
                  <c:pt idx="0">
                    <c:v>20-Oct</c:v>
                  </c:pt>
                  <c:pt idx="1">
                    <c:v>25-Oct</c:v>
                  </c:pt>
                  <c:pt idx="2">
                    <c:v>25-Nov</c:v>
                  </c:pt>
                  <c:pt idx="3">
                    <c:v>11-Jan</c:v>
                  </c:pt>
                  <c:pt idx="4">
                    <c:v>7-Feb</c:v>
                  </c:pt>
                  <c:pt idx="5">
                    <c:v>6-Mar</c:v>
                  </c:pt>
                </c:lvl>
                <c:lvl>
                  <c:pt idx="0">
                    <c:v>Oct</c:v>
                  </c:pt>
                  <c:pt idx="2">
                    <c:v>Nov</c:v>
                  </c:pt>
                  <c:pt idx="3">
                    <c:v>Jan</c:v>
                  </c:pt>
                  <c:pt idx="4">
                    <c:v>Feb</c:v>
                  </c:pt>
                  <c:pt idx="5">
                    <c:v>Mar</c:v>
                  </c:pt>
                </c:lvl>
                <c:lvl>
                  <c:pt idx="0">
                    <c:v>2023</c:v>
                  </c:pt>
                  <c:pt idx="3">
                    <c:v>2024</c:v>
                  </c:pt>
                </c:lvl>
              </c:multiLvlStrCache>
            </c:multiLvlStrRef>
          </c:cat>
          <c:val>
            <c:numRef>
              <c:f>'VENTAS DIARIO'!$Q$28:$Q$41</c:f>
              <c:numCache>
                <c:formatCode>"$"#,##0</c:formatCode>
                <c:ptCount val="6"/>
                <c:pt idx="0">
                  <c:v>853.53</c:v>
                </c:pt>
                <c:pt idx="1">
                  <c:v>21596.3</c:v>
                </c:pt>
                <c:pt idx="2">
                  <c:v>22794.55</c:v>
                </c:pt>
                <c:pt idx="3">
                  <c:v>4236.93</c:v>
                </c:pt>
                <c:pt idx="4">
                  <c:v>21596.3</c:v>
                </c:pt>
                <c:pt idx="5">
                  <c:v>48627.78</c:v>
                </c:pt>
              </c:numCache>
            </c:numRef>
          </c:val>
          <c:extLst>
            <c:ext xmlns:c16="http://schemas.microsoft.com/office/drawing/2014/chart" uri="{C3380CC4-5D6E-409C-BE32-E72D297353CC}">
              <c16:uniqueId val="{00000001-A1CB-498B-A979-27B6FA496425}"/>
            </c:ext>
          </c:extLst>
        </c:ser>
        <c:dLbls>
          <c:showLegendKey val="0"/>
          <c:showVal val="0"/>
          <c:showCatName val="0"/>
          <c:showSerName val="0"/>
          <c:showPercent val="0"/>
          <c:showBubbleSize val="0"/>
        </c:dLbls>
        <c:gapWidth val="294"/>
        <c:overlap val="3"/>
        <c:axId val="1088581007"/>
        <c:axId val="1253571680"/>
      </c:barChart>
      <c:catAx>
        <c:axId val="1088581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253571680"/>
        <c:crossesAt val="0"/>
        <c:auto val="1"/>
        <c:lblAlgn val="ctr"/>
        <c:lblOffset val="100"/>
        <c:noMultiLvlLbl val="0"/>
      </c:catAx>
      <c:valAx>
        <c:axId val="125357168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88581007"/>
        <c:crosses val="autoZero"/>
        <c:crossBetween val="between"/>
      </c:valAx>
      <c:valAx>
        <c:axId val="1041511135"/>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Can tidad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6833359"/>
        <c:crosses val="max"/>
        <c:crossBetween val="between"/>
      </c:valAx>
      <c:catAx>
        <c:axId val="966833359"/>
        <c:scaling>
          <c:orientation val="minMax"/>
        </c:scaling>
        <c:delete val="1"/>
        <c:axPos val="b"/>
        <c:numFmt formatCode="General" sourceLinked="1"/>
        <c:majorTickMark val="out"/>
        <c:minorTickMark val="none"/>
        <c:tickLblPos val="nextTo"/>
        <c:crossAx val="10415111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61433</xdr:colOff>
      <xdr:row>1</xdr:row>
      <xdr:rowOff>43156</xdr:rowOff>
    </xdr:from>
    <xdr:to>
      <xdr:col>1</xdr:col>
      <xdr:colOff>516628</xdr:colOff>
      <xdr:row>3</xdr:row>
      <xdr:rowOff>119356</xdr:rowOff>
    </xdr:to>
    <xdr:sp macro="" textlink="">
      <xdr:nvSpPr>
        <xdr:cNvPr id="5" name="Sun 4">
          <a:extLst>
            <a:ext uri="{FF2B5EF4-FFF2-40B4-BE49-F238E27FC236}">
              <a16:creationId xmlns:a16="http://schemas.microsoft.com/office/drawing/2014/main" id="{B5D7867E-734C-854B-E8F8-FC58A16D7A66}"/>
            </a:ext>
          </a:extLst>
        </xdr:cNvPr>
        <xdr:cNvSpPr/>
      </xdr:nvSpPr>
      <xdr:spPr>
        <a:xfrm>
          <a:off x="442433" y="233656"/>
          <a:ext cx="455195" cy="457200"/>
        </a:xfrm>
        <a:prstGeom prst="sun">
          <a:avLst/>
        </a:prstGeom>
        <a:solidFill>
          <a:srgbClr val="6C6F5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290080</xdr:colOff>
      <xdr:row>2</xdr:row>
      <xdr:rowOff>80894</xdr:rowOff>
    </xdr:from>
    <xdr:to>
      <xdr:col>1</xdr:col>
      <xdr:colOff>551312</xdr:colOff>
      <xdr:row>3</xdr:row>
      <xdr:rowOff>139286</xdr:rowOff>
    </xdr:to>
    <xdr:sp macro="" textlink="">
      <xdr:nvSpPr>
        <xdr:cNvPr id="7" name="Rectangle 6">
          <a:extLst>
            <a:ext uri="{FF2B5EF4-FFF2-40B4-BE49-F238E27FC236}">
              <a16:creationId xmlns:a16="http://schemas.microsoft.com/office/drawing/2014/main" id="{EC62AD1E-A6C5-94F6-5E92-51ED8D8BC807}"/>
            </a:ext>
          </a:extLst>
        </xdr:cNvPr>
        <xdr:cNvSpPr/>
      </xdr:nvSpPr>
      <xdr:spPr>
        <a:xfrm>
          <a:off x="671080" y="461894"/>
          <a:ext cx="261232" cy="248892"/>
        </a:xfrm>
        <a:prstGeom prst="rect">
          <a:avLst/>
        </a:prstGeom>
        <a:solidFill>
          <a:srgbClr val="F3F8E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oneCellAnchor>
    <xdr:from>
      <xdr:col>1</xdr:col>
      <xdr:colOff>269593</xdr:colOff>
      <xdr:row>1</xdr:row>
      <xdr:rowOff>182838</xdr:rowOff>
    </xdr:from>
    <xdr:ext cx="1464825" cy="383271"/>
    <xdr:sp macro="" textlink="">
      <xdr:nvSpPr>
        <xdr:cNvPr id="6" name="TextBox 5">
          <a:extLst>
            <a:ext uri="{FF2B5EF4-FFF2-40B4-BE49-F238E27FC236}">
              <a16:creationId xmlns:a16="http://schemas.microsoft.com/office/drawing/2014/main" id="{A66FBB37-005E-1F17-1DE5-465988095071}"/>
            </a:ext>
          </a:extLst>
        </xdr:cNvPr>
        <xdr:cNvSpPr txBox="1"/>
      </xdr:nvSpPr>
      <xdr:spPr>
        <a:xfrm>
          <a:off x="650593" y="373338"/>
          <a:ext cx="1464825" cy="383271"/>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t">
          <a:noAutofit/>
        </a:bodyPr>
        <a:lstStyle/>
        <a:p>
          <a:pPr algn="l"/>
          <a:r>
            <a:rPr lang="es-CO" sz="2400" b="1">
              <a:ln>
                <a:noFill/>
              </a:ln>
              <a:solidFill>
                <a:srgbClr val="6C6F5D"/>
              </a:solidFill>
              <a:latin typeface="Century Gothic" panose="020B0502020202020204" pitchFamily="34" charset="0"/>
            </a:rPr>
            <a:t>PLASTISOL</a:t>
          </a:r>
        </a:p>
      </xdr:txBody>
    </xdr:sp>
    <xdr:clientData/>
  </xdr:oneCellAnchor>
  <xdr:twoCellAnchor editAs="oneCell">
    <xdr:from>
      <xdr:col>2</xdr:col>
      <xdr:colOff>0</xdr:colOff>
      <xdr:row>25</xdr:row>
      <xdr:rowOff>161925</xdr:rowOff>
    </xdr:from>
    <xdr:to>
      <xdr:col>7</xdr:col>
      <xdr:colOff>703907</xdr:colOff>
      <xdr:row>35</xdr:row>
      <xdr:rowOff>128991</xdr:rowOff>
    </xdr:to>
    <xdr:pic>
      <xdr:nvPicPr>
        <xdr:cNvPr id="19" name="Picture 18">
          <a:extLst>
            <a:ext uri="{FF2B5EF4-FFF2-40B4-BE49-F238E27FC236}">
              <a16:creationId xmlns:a16="http://schemas.microsoft.com/office/drawing/2014/main" id="{3B5880AC-0A97-9B8D-F3FE-C99FC78F8D53}"/>
            </a:ext>
          </a:extLst>
        </xdr:cNvPr>
        <xdr:cNvPicPr>
          <a:picLocks noChangeAspect="1"/>
        </xdr:cNvPicPr>
      </xdr:nvPicPr>
      <xdr:blipFill rotWithShape="1">
        <a:blip xmlns:r="http://schemas.openxmlformats.org/officeDocument/2006/relationships" r:embed="rId1">
          <a:alphaModFix amt="20000"/>
        </a:blip>
        <a:srcRect t="7279"/>
        <a:stretch/>
      </xdr:blipFill>
      <xdr:spPr>
        <a:xfrm>
          <a:off x="1009650" y="5048250"/>
          <a:ext cx="7571432" cy="2062566"/>
        </a:xfrm>
        <a:prstGeom prst="rect">
          <a:avLst/>
        </a:prstGeom>
      </xdr:spPr>
    </xdr:pic>
    <xdr:clientData/>
  </xdr:twoCellAnchor>
  <xdr:twoCellAnchor>
    <xdr:from>
      <xdr:col>0</xdr:col>
      <xdr:colOff>0</xdr:colOff>
      <xdr:row>1</xdr:row>
      <xdr:rowOff>0</xdr:rowOff>
    </xdr:from>
    <xdr:to>
      <xdr:col>9</xdr:col>
      <xdr:colOff>0</xdr:colOff>
      <xdr:row>1</xdr:row>
      <xdr:rowOff>0</xdr:rowOff>
    </xdr:to>
    <xdr:cxnSp macro="">
      <xdr:nvCxnSpPr>
        <xdr:cNvPr id="10" name="Straight Connector 9">
          <a:extLst>
            <a:ext uri="{FF2B5EF4-FFF2-40B4-BE49-F238E27FC236}">
              <a16:creationId xmlns:a16="http://schemas.microsoft.com/office/drawing/2014/main" id="{B1513020-CF66-E4C0-B7D3-8C5F4A5D703F}"/>
            </a:ext>
          </a:extLst>
        </xdr:cNvPr>
        <xdr:cNvCxnSpPr/>
      </xdr:nvCxnSpPr>
      <xdr:spPr>
        <a:xfrm>
          <a:off x="0" y="190500"/>
          <a:ext cx="9674087" cy="0"/>
        </a:xfrm>
        <a:prstGeom prst="line">
          <a:avLst/>
        </a:prstGeom>
        <a:ln w="12700" cap="rnd">
          <a:solidFill>
            <a:srgbClr val="6C6F5D"/>
          </a:solidFill>
          <a:roun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392206</xdr:colOff>
      <xdr:row>0</xdr:row>
      <xdr:rowOff>156882</xdr:rowOff>
    </xdr:from>
    <xdr:to>
      <xdr:col>15</xdr:col>
      <xdr:colOff>392206</xdr:colOff>
      <xdr:row>20</xdr:row>
      <xdr:rowOff>33617</xdr:rowOff>
    </xdr:to>
    <xdr:grpSp>
      <xdr:nvGrpSpPr>
        <xdr:cNvPr id="13" name="Group 12">
          <a:extLst>
            <a:ext uri="{FF2B5EF4-FFF2-40B4-BE49-F238E27FC236}">
              <a16:creationId xmlns:a16="http://schemas.microsoft.com/office/drawing/2014/main" id="{C613D53C-E9E7-8968-4DD4-A1867851C725}"/>
            </a:ext>
          </a:extLst>
        </xdr:cNvPr>
        <xdr:cNvGrpSpPr/>
      </xdr:nvGrpSpPr>
      <xdr:grpSpPr>
        <a:xfrm>
          <a:off x="10066293" y="156882"/>
          <a:ext cx="3677478" cy="3703300"/>
          <a:chOff x="10074088" y="156882"/>
          <a:chExt cx="3630706" cy="3731559"/>
        </a:xfrm>
      </xdr:grpSpPr>
      <xdr:sp macro="" textlink="">
        <xdr:nvSpPr>
          <xdr:cNvPr id="4" name="Rectangle: Rounded Corners 3">
            <a:extLst>
              <a:ext uri="{FF2B5EF4-FFF2-40B4-BE49-F238E27FC236}">
                <a16:creationId xmlns:a16="http://schemas.microsoft.com/office/drawing/2014/main" id="{9A5EFA51-D14F-7A1D-720B-750EA46F6F49}"/>
              </a:ext>
            </a:extLst>
          </xdr:cNvPr>
          <xdr:cNvSpPr/>
        </xdr:nvSpPr>
        <xdr:spPr>
          <a:xfrm>
            <a:off x="10074088" y="156882"/>
            <a:ext cx="3630706" cy="3731559"/>
          </a:xfrm>
          <a:prstGeom prst="roundRect">
            <a:avLst>
              <a:gd name="adj" fmla="val 8334"/>
            </a:avLst>
          </a:prstGeom>
          <a:solidFill>
            <a:schemeClr val="bg1"/>
          </a:solidFill>
          <a:ln w="38100">
            <a:solidFill>
              <a:schemeClr val="tx1">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2000" b="0" i="0">
                <a:solidFill>
                  <a:schemeClr val="tx1">
                    <a:lumMod val="65000"/>
                    <a:lumOff val="35000"/>
                  </a:schemeClr>
                </a:solidFill>
                <a:latin typeface="Century Gothic" panose="020B0502020202020204" pitchFamily="34" charset="0"/>
              </a:rPr>
              <a:t>CONTROL</a:t>
            </a:r>
            <a:r>
              <a:rPr lang="es-CO" sz="2000" b="0" i="0" baseline="0">
                <a:solidFill>
                  <a:schemeClr val="tx1">
                    <a:lumMod val="65000"/>
                    <a:lumOff val="35000"/>
                  </a:schemeClr>
                </a:solidFill>
                <a:latin typeface="Century Gothic" panose="020B0502020202020204" pitchFamily="34" charset="0"/>
              </a:rPr>
              <a:t> FACTURACION</a:t>
            </a:r>
            <a:endParaRPr lang="es-CO" sz="2000" b="0" i="0">
              <a:solidFill>
                <a:schemeClr val="tx1">
                  <a:lumMod val="65000"/>
                  <a:lumOff val="35000"/>
                </a:schemeClr>
              </a:solidFill>
              <a:latin typeface="Century Gothic" panose="020B0502020202020204" pitchFamily="34" charset="0"/>
            </a:endParaRPr>
          </a:p>
        </xdr:txBody>
      </xdr:sp>
      <xdr:sp macro="[0]!guardar_factura" textlink="">
        <xdr:nvSpPr>
          <xdr:cNvPr id="2" name="Rectangle: Rounded Corners 1">
            <a:extLst>
              <a:ext uri="{FF2B5EF4-FFF2-40B4-BE49-F238E27FC236}">
                <a16:creationId xmlns:a16="http://schemas.microsoft.com/office/drawing/2014/main" id="{128982C0-225E-AE68-4567-455B8039C106}"/>
              </a:ext>
            </a:extLst>
          </xdr:cNvPr>
          <xdr:cNvSpPr/>
        </xdr:nvSpPr>
        <xdr:spPr>
          <a:xfrm>
            <a:off x="10680324" y="1624853"/>
            <a:ext cx="2419351" cy="504265"/>
          </a:xfrm>
          <a:prstGeom prst="roundRect">
            <a:avLst/>
          </a:prstGeom>
          <a:solidFill>
            <a:srgbClr val="265073"/>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b="0">
                <a:solidFill>
                  <a:schemeClr val="bg1"/>
                </a:solidFill>
                <a:latin typeface="Century Gothic" panose="020B0502020202020204" pitchFamily="34" charset="0"/>
              </a:rPr>
              <a:t>GUARDAR SIN</a:t>
            </a:r>
            <a:r>
              <a:rPr lang="es-CO" sz="1600" b="0" baseline="0">
                <a:solidFill>
                  <a:schemeClr val="bg1"/>
                </a:solidFill>
                <a:latin typeface="Century Gothic" panose="020B0502020202020204" pitchFamily="34" charset="0"/>
              </a:rPr>
              <a:t> ENVIAR</a:t>
            </a:r>
            <a:endParaRPr lang="es-CO" sz="1600" b="0">
              <a:solidFill>
                <a:schemeClr val="bg1"/>
              </a:solidFill>
              <a:latin typeface="Century Gothic" panose="020B0502020202020204" pitchFamily="34" charset="0"/>
            </a:endParaRPr>
          </a:p>
        </xdr:txBody>
      </xdr:sp>
      <xdr:sp macro="" textlink="">
        <xdr:nvSpPr>
          <xdr:cNvPr id="3" name="Rectangle: Rounded Corners 2">
            <a:extLst>
              <a:ext uri="{FF2B5EF4-FFF2-40B4-BE49-F238E27FC236}">
                <a16:creationId xmlns:a16="http://schemas.microsoft.com/office/drawing/2014/main" id="{53539E99-9EC8-45E9-BA4A-6AD2C952B7F3}"/>
              </a:ext>
            </a:extLst>
          </xdr:cNvPr>
          <xdr:cNvSpPr/>
        </xdr:nvSpPr>
        <xdr:spPr>
          <a:xfrm>
            <a:off x="10679206" y="2286002"/>
            <a:ext cx="2420470" cy="481852"/>
          </a:xfrm>
          <a:prstGeom prst="roundRect">
            <a:avLst/>
          </a:prstGeom>
          <a:solidFill>
            <a:srgbClr val="265073"/>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b="0" baseline="0">
                <a:solidFill>
                  <a:schemeClr val="bg1"/>
                </a:solidFill>
                <a:latin typeface="Century Gothic" panose="020B0502020202020204" pitchFamily="34" charset="0"/>
              </a:rPr>
              <a:t>ENVIAR AL CORREO</a:t>
            </a:r>
          </a:p>
        </xdr:txBody>
      </xdr:sp>
      <xdr:sp macro="[0]!Factura_limpiar" textlink="">
        <xdr:nvSpPr>
          <xdr:cNvPr id="11" name="Rectangle: Rounded Corners 10">
            <a:extLst>
              <a:ext uri="{FF2B5EF4-FFF2-40B4-BE49-F238E27FC236}">
                <a16:creationId xmlns:a16="http://schemas.microsoft.com/office/drawing/2014/main" id="{0C57F57D-C114-4B62-AE07-35488A5305F7}"/>
              </a:ext>
            </a:extLst>
          </xdr:cNvPr>
          <xdr:cNvSpPr/>
        </xdr:nvSpPr>
        <xdr:spPr>
          <a:xfrm>
            <a:off x="10679205" y="918883"/>
            <a:ext cx="2420471" cy="571500"/>
          </a:xfrm>
          <a:prstGeom prst="roundRect">
            <a:avLst/>
          </a:prstGeom>
          <a:solidFill>
            <a:srgbClr val="EB4747"/>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b="0" baseline="0">
                <a:solidFill>
                  <a:schemeClr val="bg1"/>
                </a:solidFill>
                <a:latin typeface="Century Gothic" panose="020B0502020202020204" pitchFamily="34" charset="0"/>
              </a:rPr>
              <a:t>LIMPIAR FACTURA</a:t>
            </a:r>
          </a:p>
        </xdr:txBody>
      </xdr:sp>
      <xdr:sp macro="" textlink="">
        <xdr:nvSpPr>
          <xdr:cNvPr id="12" name="Rectangle: Rounded Corners 11">
            <a:extLst>
              <a:ext uri="{FF2B5EF4-FFF2-40B4-BE49-F238E27FC236}">
                <a16:creationId xmlns:a16="http://schemas.microsoft.com/office/drawing/2014/main" id="{8EAFCE90-745E-49C2-A820-D34629D3AF98}"/>
              </a:ext>
            </a:extLst>
          </xdr:cNvPr>
          <xdr:cNvSpPr/>
        </xdr:nvSpPr>
        <xdr:spPr>
          <a:xfrm>
            <a:off x="10679206" y="2924736"/>
            <a:ext cx="2420470" cy="481852"/>
          </a:xfrm>
          <a:prstGeom prst="roundRect">
            <a:avLst/>
          </a:prstGeom>
          <a:solidFill>
            <a:srgbClr val="6AB466"/>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b="0" baseline="0">
                <a:solidFill>
                  <a:schemeClr val="bg1"/>
                </a:solidFill>
                <a:latin typeface="Century Gothic" panose="020B0502020202020204" pitchFamily="34" charset="0"/>
              </a:rPr>
              <a:t>ENVIAR E IMPRIMIR</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11206</xdr:colOff>
      <xdr:row>3</xdr:row>
      <xdr:rowOff>120464</xdr:rowOff>
    </xdr:from>
    <xdr:to>
      <xdr:col>8</xdr:col>
      <xdr:colOff>5733</xdr:colOff>
      <xdr:row>15</xdr:row>
      <xdr:rowOff>171967</xdr:rowOff>
    </xdr:to>
    <mc:AlternateContent xmlns:mc="http://schemas.openxmlformats.org/markup-compatibility/2006" xmlns:a14="http://schemas.microsoft.com/office/drawing/2010/main">
      <mc:Choice Requires="a14">
        <xdr:graphicFrame macro="">
          <xdr:nvGraphicFramePr>
            <xdr:cNvPr id="7" name="id_producto">
              <a:extLst>
                <a:ext uri="{FF2B5EF4-FFF2-40B4-BE49-F238E27FC236}">
                  <a16:creationId xmlns:a16="http://schemas.microsoft.com/office/drawing/2014/main" id="{2A538D0D-131C-D54D-E185-49B2C9031593}"/>
                </a:ext>
              </a:extLst>
            </xdr:cNvPr>
            <xdr:cNvGraphicFramePr/>
          </xdr:nvGraphicFramePr>
          <xdr:xfrm>
            <a:off x="0" y="0"/>
            <a:ext cx="0" cy="0"/>
          </xdr:xfrm>
          <a:graphic>
            <a:graphicData uri="http://schemas.microsoft.com/office/drawing/2010/slicer">
              <sle:slicer xmlns:sle="http://schemas.microsoft.com/office/drawing/2010/slicer" name="id_producto"/>
            </a:graphicData>
          </a:graphic>
        </xdr:graphicFrame>
      </mc:Choice>
      <mc:Fallback xmlns="">
        <xdr:sp macro="" textlink="">
          <xdr:nvSpPr>
            <xdr:cNvPr id="0" name=""/>
            <xdr:cNvSpPr>
              <a:spLocks noTextEdit="1"/>
            </xdr:cNvSpPr>
          </xdr:nvSpPr>
          <xdr:spPr>
            <a:xfrm>
              <a:off x="8393206" y="691964"/>
              <a:ext cx="1844098" cy="2576743"/>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9395</xdr:colOff>
      <xdr:row>16</xdr:row>
      <xdr:rowOff>65943</xdr:rowOff>
    </xdr:from>
    <xdr:to>
      <xdr:col>7</xdr:col>
      <xdr:colOff>1839057</xdr:colOff>
      <xdr:row>28</xdr:row>
      <xdr:rowOff>40298</xdr:rowOff>
    </xdr:to>
    <mc:AlternateContent xmlns:mc="http://schemas.openxmlformats.org/markup-compatibility/2006" xmlns:a14="http://schemas.microsoft.com/office/drawing/2010/main">
      <mc:Choice Requires="a14">
        <xdr:graphicFrame macro="">
          <xdr:nvGraphicFramePr>
            <xdr:cNvPr id="8" name="fecha">
              <a:extLst>
                <a:ext uri="{FF2B5EF4-FFF2-40B4-BE49-F238E27FC236}">
                  <a16:creationId xmlns:a16="http://schemas.microsoft.com/office/drawing/2014/main" id="{77F44144-B417-9F2E-FE79-441F30317105}"/>
                </a:ext>
              </a:extLst>
            </xdr:cNvPr>
            <xdr:cNvGraphicFramePr/>
          </xdr:nvGraphicFramePr>
          <xdr:xfrm>
            <a:off x="0" y="0"/>
            <a:ext cx="0" cy="0"/>
          </xdr:xfrm>
          <a:graphic>
            <a:graphicData uri="http://schemas.microsoft.com/office/drawing/2010/slicer">
              <sle:slicer xmlns:sle="http://schemas.microsoft.com/office/drawing/2010/slicer" name="fecha"/>
            </a:graphicData>
          </a:graphic>
        </xdr:graphicFrame>
      </mc:Choice>
      <mc:Fallback xmlns="">
        <xdr:sp macro="" textlink="">
          <xdr:nvSpPr>
            <xdr:cNvPr id="0" name=""/>
            <xdr:cNvSpPr>
              <a:spLocks noTextEdit="1"/>
            </xdr:cNvSpPr>
          </xdr:nvSpPr>
          <xdr:spPr>
            <a:xfrm>
              <a:off x="6900525" y="3321008"/>
              <a:ext cx="1829662" cy="2459138"/>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4</xdr:row>
      <xdr:rowOff>0</xdr:rowOff>
    </xdr:from>
    <xdr:to>
      <xdr:col>2</xdr:col>
      <xdr:colOff>0</xdr:colOff>
      <xdr:row>15</xdr:row>
      <xdr:rowOff>183173</xdr:rowOff>
    </xdr:to>
    <mc:AlternateContent xmlns:mc="http://schemas.openxmlformats.org/markup-compatibility/2006" xmlns:a14="http://schemas.microsoft.com/office/drawing/2010/main">
      <mc:Choice Requires="a14">
        <xdr:graphicFrame macro="">
          <xdr:nvGraphicFramePr>
            <xdr:cNvPr id="9" name="categoria">
              <a:extLst>
                <a:ext uri="{FF2B5EF4-FFF2-40B4-BE49-F238E27FC236}">
                  <a16:creationId xmlns:a16="http://schemas.microsoft.com/office/drawing/2014/main" id="{87A9F933-EC93-82A2-C494-C2A890406651}"/>
                </a:ext>
              </a:extLst>
            </xdr:cNvPr>
            <xdr:cNvGraphicFramePr/>
          </xdr:nvGraphicFramePr>
          <xdr:xfrm>
            <a:off x="0" y="0"/>
            <a:ext cx="0" cy="0"/>
          </xdr:xfrm>
          <a:graphic>
            <a:graphicData uri="http://schemas.microsoft.com/office/drawing/2010/slicer">
              <sle:slicer xmlns:sle="http://schemas.microsoft.com/office/drawing/2010/slicer" name="categoria"/>
            </a:graphicData>
          </a:graphic>
        </xdr:graphicFrame>
      </mc:Choice>
      <mc:Fallback xmlns="">
        <xdr:sp macro="" textlink="">
          <xdr:nvSpPr>
            <xdr:cNvPr id="0" name=""/>
            <xdr:cNvSpPr>
              <a:spLocks noTextEdit="1"/>
            </xdr:cNvSpPr>
          </xdr:nvSpPr>
          <xdr:spPr>
            <a:xfrm>
              <a:off x="149087" y="695739"/>
              <a:ext cx="1374913" cy="2584174"/>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145360</xdr:colOff>
      <xdr:row>4</xdr:row>
      <xdr:rowOff>4969</xdr:rowOff>
    </xdr:from>
    <xdr:to>
      <xdr:col>2</xdr:col>
      <xdr:colOff>33130</xdr:colOff>
      <xdr:row>16</xdr:row>
      <xdr:rowOff>91108</xdr:rowOff>
    </xdr:to>
    <mc:AlternateContent xmlns:mc="http://schemas.openxmlformats.org/markup-compatibility/2006" xmlns:a14="http://schemas.microsoft.com/office/drawing/2010/main">
      <mc:Choice Requires="a14">
        <xdr:graphicFrame macro="">
          <xdr:nvGraphicFramePr>
            <xdr:cNvPr id="5" name="FECHA 1">
              <a:extLst>
                <a:ext uri="{FF2B5EF4-FFF2-40B4-BE49-F238E27FC236}">
                  <a16:creationId xmlns:a16="http://schemas.microsoft.com/office/drawing/2014/main" id="{2720AAAC-028F-8934-AA53-D9C305AFD559}"/>
                </a:ext>
              </a:extLst>
            </xdr:cNvPr>
            <xdr:cNvGraphicFramePr/>
          </xdr:nvGraphicFramePr>
          <xdr:xfrm>
            <a:off x="0" y="0"/>
            <a:ext cx="0" cy="0"/>
          </xdr:xfrm>
          <a:graphic>
            <a:graphicData uri="http://schemas.microsoft.com/office/drawing/2010/slicer">
              <sle:slicer xmlns:sle="http://schemas.microsoft.com/office/drawing/2010/slicer" name="FECHA 1"/>
            </a:graphicData>
          </a:graphic>
        </xdr:graphicFrame>
      </mc:Choice>
      <mc:Fallback xmlns="">
        <xdr:sp macro="" textlink="">
          <xdr:nvSpPr>
            <xdr:cNvPr id="0" name=""/>
            <xdr:cNvSpPr>
              <a:spLocks noTextEdit="1"/>
            </xdr:cNvSpPr>
          </xdr:nvSpPr>
          <xdr:spPr>
            <a:xfrm>
              <a:off x="145360" y="703469"/>
              <a:ext cx="1411770" cy="2483264"/>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16565</xdr:colOff>
      <xdr:row>6</xdr:row>
      <xdr:rowOff>7452</xdr:rowOff>
    </xdr:from>
    <xdr:to>
      <xdr:col>12</xdr:col>
      <xdr:colOff>554934</xdr:colOff>
      <xdr:row>24</xdr:row>
      <xdr:rowOff>173935</xdr:rowOff>
    </xdr:to>
    <xdr:graphicFrame macro="">
      <xdr:nvGraphicFramePr>
        <xdr:cNvPr id="7" name="Chart 6">
          <a:extLst>
            <a:ext uri="{FF2B5EF4-FFF2-40B4-BE49-F238E27FC236}">
              <a16:creationId xmlns:a16="http://schemas.microsoft.com/office/drawing/2014/main" id="{F9DB6344-5C9B-2739-BF7F-740865821A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2898</xdr:colOff>
      <xdr:row>16</xdr:row>
      <xdr:rowOff>187187</xdr:rowOff>
    </xdr:from>
    <xdr:to>
      <xdr:col>2</xdr:col>
      <xdr:colOff>0</xdr:colOff>
      <xdr:row>27</xdr:row>
      <xdr:rowOff>172002</xdr:rowOff>
    </xdr:to>
    <mc:AlternateContent xmlns:mc="http://schemas.openxmlformats.org/markup-compatibility/2006" xmlns:a14="http://schemas.microsoft.com/office/drawing/2010/main">
      <mc:Choice Requires="a14">
        <xdr:graphicFrame macro="">
          <xdr:nvGraphicFramePr>
            <xdr:cNvPr id="9" name="CATEGORIA 1">
              <a:extLst>
                <a:ext uri="{FF2B5EF4-FFF2-40B4-BE49-F238E27FC236}">
                  <a16:creationId xmlns:a16="http://schemas.microsoft.com/office/drawing/2014/main" id="{38EA4252-F78E-E1C9-095A-789D2342450B}"/>
                </a:ext>
              </a:extLst>
            </xdr:cNvPr>
            <xdr:cNvGraphicFramePr/>
          </xdr:nvGraphicFramePr>
          <xdr:xfrm>
            <a:off x="0" y="0"/>
            <a:ext cx="0" cy="0"/>
          </xdr:xfrm>
          <a:graphic>
            <a:graphicData uri="http://schemas.microsoft.com/office/drawing/2010/slicer">
              <sle:slicer xmlns:sle="http://schemas.microsoft.com/office/drawing/2010/slicer" name="CATEGORIA 1"/>
            </a:graphicData>
          </a:graphic>
        </xdr:graphicFrame>
      </mc:Choice>
      <mc:Fallback xmlns="">
        <xdr:sp macro="" textlink="">
          <xdr:nvSpPr>
            <xdr:cNvPr id="0" name=""/>
            <xdr:cNvSpPr>
              <a:spLocks noTextEdit="1"/>
            </xdr:cNvSpPr>
          </xdr:nvSpPr>
          <xdr:spPr>
            <a:xfrm>
              <a:off x="153711" y="3282812"/>
              <a:ext cx="1370289" cy="2254940"/>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152399</xdr:colOff>
      <xdr:row>28</xdr:row>
      <xdr:rowOff>52386</xdr:rowOff>
    </xdr:from>
    <xdr:to>
      <xdr:col>12</xdr:col>
      <xdr:colOff>523874</xdr:colOff>
      <xdr:row>46</xdr:row>
      <xdr:rowOff>57149</xdr:rowOff>
    </xdr:to>
    <xdr:graphicFrame macro="">
      <xdr:nvGraphicFramePr>
        <xdr:cNvPr id="12" name="Chart 11">
          <a:extLst>
            <a:ext uri="{FF2B5EF4-FFF2-40B4-BE49-F238E27FC236}">
              <a16:creationId xmlns:a16="http://schemas.microsoft.com/office/drawing/2014/main" id="{A4D98A8A-0539-2018-71AD-73863EFD95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xdr:colOff>
      <xdr:row>0</xdr:row>
      <xdr:rowOff>161925</xdr:rowOff>
    </xdr:from>
    <xdr:to>
      <xdr:col>10</xdr:col>
      <xdr:colOff>133350</xdr:colOff>
      <xdr:row>2</xdr:row>
      <xdr:rowOff>171450</xdr:rowOff>
    </xdr:to>
    <xdr:sp macro="[0]!Entradas_ingreso" textlink="">
      <xdr:nvSpPr>
        <xdr:cNvPr id="2" name="Rectangle: Rounded Corners 1">
          <a:extLst>
            <a:ext uri="{FF2B5EF4-FFF2-40B4-BE49-F238E27FC236}">
              <a16:creationId xmlns:a16="http://schemas.microsoft.com/office/drawing/2014/main" id="{00833B3C-E076-F7F2-C29B-8ED20A3B3907}"/>
            </a:ext>
          </a:extLst>
        </xdr:cNvPr>
        <xdr:cNvSpPr/>
      </xdr:nvSpPr>
      <xdr:spPr>
        <a:xfrm>
          <a:off x="10963275" y="161925"/>
          <a:ext cx="1943100" cy="390525"/>
        </a:xfrm>
        <a:prstGeom prst="roundRect">
          <a:avLst/>
        </a:prstGeom>
        <a:solidFill>
          <a:srgbClr val="265073"/>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O" sz="1100">
              <a:latin typeface="Century Gothic" panose="020B0502020202020204" pitchFamily="34" charset="0"/>
            </a:rPr>
            <a:t>Ingresar datos</a:t>
          </a:r>
        </a:p>
        <a:p>
          <a:pPr algn="ctr"/>
          <a:endParaRPr lang="es-CO" sz="1100"/>
        </a:p>
      </xdr:txBody>
    </xdr:sp>
    <xdr:clientData/>
  </xdr:twoCellAnchor>
</xdr:wsDr>
</file>

<file path=xl/persons/person.xml><?xml version="1.0" encoding="utf-8"?>
<personList xmlns="http://schemas.microsoft.com/office/spreadsheetml/2018/threadedcomments" xmlns:x="http://schemas.openxmlformats.org/spreadsheetml/2006/main">
  <person displayName="ALEX CE" id="{D947ED83-2D3F-414D-AC72-88D1051A1A35}" userId="5116d80f276fee44" providerId="Windows Live"/>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7.751298263887" backgroundQuery="1" createdVersion="8" refreshedVersion="8" minRefreshableVersion="3" recordCount="0" supportSubquery="1" supportAdvancedDrill="1" xr:uid="{584F072E-49BA-4649-8E4A-37E45F72E4CF}">
  <cacheSource type="external" connectionId="14"/>
  <cacheFields count="4">
    <cacheField name="[salidas_hist].[DESCRIPCION].[DESCRIPCION]" caption="DESCRIPCION" numFmtId="0" hierarchy="24" level="1">
      <sharedItems count="7">
        <s v="Bolsa polipropileno transp 8x15"/>
        <s v="Palillo bamboo 25 cm grueso"/>
        <s v="Papel Aluminio 40 metros"/>
        <s v="Parafinado disenio rojo rollo 100 metros"/>
        <s v="Parafinado negro rollo 100 metros"/>
        <s v="Parafinado rojo rollo 100 metros"/>
        <s v="Vinipel stress 5x300"/>
      </sharedItems>
    </cacheField>
    <cacheField name="[Measures].[Sum of UNIDADES 3]" caption="Sum of UNIDADES 3" numFmtId="0" hierarchy="46" level="32767"/>
    <cacheField name="[Measures].[Sum of INGRESO]" caption="Sum of INGRESO" numFmtId="0" hierarchy="47" level="32767"/>
    <cacheField name="[salidas_hist].[CATEGORIA].[CATEGORIA]" caption="CATEGORIA" numFmtId="0" hierarchy="31" level="1">
      <sharedItems count="5">
        <s v="Bolsa Polipropileno"/>
        <s v="Palillo Bamboo"/>
        <s v="Papel Aluminio"/>
        <s v="Parafinado"/>
        <s v="VINIPEL"/>
      </sharedItems>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2"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2" memberValueDatatype="130" unbalanced="0">
      <fieldsUsage count="2">
        <fieldUsage x="-1"/>
        <fieldUsage x="0"/>
      </fieldsUsage>
    </cacheHierarchy>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2" memberValueDatatype="130" unbalanced="0">
      <fieldsUsage count="2">
        <fieldUsage x="-1"/>
        <fieldUsage x="3"/>
      </fieldsUsage>
    </cacheHierarchy>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oneField="1" hidden="1">
      <fieldsUsage count="1">
        <fieldUsage x="2"/>
      </fieldsUsage>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7.752648495371" backgroundQuery="1" createdVersion="8" refreshedVersion="8" minRefreshableVersion="3" recordCount="0" supportSubquery="1" supportAdvancedDrill="1" xr:uid="{46C08237-E1AF-4188-BD0D-508A7A34EBD3}">
  <cacheSource type="external" connectionId="14"/>
  <cacheFields count="5">
    <cacheField name="[Measures].[Sum of UNIDADES 3]" caption="Sum of UNIDADES 3" numFmtId="0" hierarchy="46" level="32767"/>
    <cacheField name="[Measures].[Sum of INGRESO]" caption="Sum of INGRESO" numFmtId="0" hierarchy="47" level="32767"/>
    <cacheField name="[salidas_hist].[FECHA (Day)].[FECHA (Day)]" caption="FECHA (Day)" numFmtId="0" hierarchy="34" level="1">
      <sharedItems count="6">
        <s v="20-Oct"/>
        <s v="25-Oct"/>
        <s v="25-Nov"/>
        <s v="11-Jan"/>
        <s v="7-Feb"/>
        <s v="6-Mar"/>
      </sharedItems>
    </cacheField>
    <cacheField name="[salidas_hist].[FECHA (Month)].[FECHA (Month)]" caption="FECHA (Month)" numFmtId="0" hierarchy="33" level="1">
      <sharedItems count="5">
        <s v="Oct"/>
        <s v="Nov"/>
        <s v="Jan"/>
        <s v="Feb"/>
        <s v="Mar"/>
      </sharedItems>
    </cacheField>
    <cacheField name="[salidas_hist].[FECHA (Year)].[FECHA (Year)]" caption="FECHA (Year)" numFmtId="0" hierarchy="32" level="1">
      <sharedItems count="2">
        <s v="2023"/>
        <s v="2024"/>
      </sharedItems>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2"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2" memberValueDatatype="130" unbalanced="0"/>
    <cacheHierarchy uniqueName="[salidas_hist].[FECHA (Year)]" caption="FECHA (Year)" attribute="1" defaultMemberUniqueName="[salidas_hist].[FECHA (Year)].[All]" allUniqueName="[salidas_hist].[FECHA (Year)].[All]" dimensionUniqueName="[salidas_hist]" displayFolder="" count="2" memberValueDatatype="130" unbalanced="0">
      <fieldsUsage count="2">
        <fieldUsage x="-1"/>
        <fieldUsage x="4"/>
      </fieldsUsage>
    </cacheHierarchy>
    <cacheHierarchy uniqueName="[salidas_hist].[FECHA (Month)]" caption="FECHA (Month)" attribute="1" defaultMemberUniqueName="[salidas_hist].[FECHA (Month)].[All]" allUniqueName="[salidas_hist].[FECHA (Month)].[All]" dimensionUniqueName="[salidas_hist]" displayFolder="" count="2" memberValueDatatype="130" unbalanced="0">
      <fieldsUsage count="2">
        <fieldUsage x="-1"/>
        <fieldUsage x="3"/>
      </fieldsUsage>
    </cacheHierarchy>
    <cacheHierarchy uniqueName="[salidas_hist].[FECHA (Day)]" caption="FECHA (Day)" attribute="1" defaultMemberUniqueName="[salidas_hist].[FECHA (Day)].[All]" allUniqueName="[salidas_hist].[FECHA (Day)].[All]" dimensionUniqueName="[salidas_hist]" displayFolder="" count="2" memberValueDatatype="130" unbalanced="0">
      <fieldsUsage count="2">
        <fieldUsage x="-1"/>
        <fieldUsage x="2"/>
      </fieldsUsage>
    </cacheHierarchy>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oneField="1" hidden="1">
      <fieldsUsage count="1">
        <fieldUsage x="0"/>
      </fieldsUsage>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oneField="1" hidden="1">
      <fieldsUsage count="1">
        <fieldUsage x="1"/>
      </fieldsUsage>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8.67956099537" backgroundQuery="1" createdVersion="8" refreshedVersion="8" minRefreshableVersion="3" recordCount="0" supportSubquery="1" supportAdvancedDrill="1" xr:uid="{A9CBF6CA-19A6-4B47-92A1-6AAA84F36DF5}">
  <cacheSource type="external" connectionId="14"/>
  <cacheFields count="4">
    <cacheField name="[inventario_actual].[descripcion].[descripcion]" caption="descripcion" numFmtId="0" hierarchy="17" level="1">
      <sharedItems count="88">
        <s v="Parafinado rojo rollo 100 metros"/>
        <s v="Parafinado negro rollo 100 metros"/>
        <s v="Parafinado blanco rollo 100 metros"/>
        <s v="Parafinado amarillo rollo 100 metros"/>
        <s v="Parafinado azul rollo 100 metros"/>
        <s v="Parafinado verde rollo 100 metros"/>
        <s v="Parafinado disenio rojo rollo 100 metros"/>
        <s v="Parafinado disenio cafe rollo 100 metros"/>
        <s v="Parafinado rojo rollo 50 metros"/>
        <s v="Parafinado negro rollo 50 metros"/>
        <s v="Parafinado blanco rollo 50 metros"/>
        <s v="Parafinado amarillo rollo 50 metros"/>
        <s v="Parafinado azul rollo 50 metros"/>
        <s v="Parafinado verde rollo 50 metros"/>
        <s v="Parafinado disenio rojo rollo 50 metros"/>
        <s v="Parafinado disenio cafe rollo 50 metros"/>
        <s v="Parafinado rojo rollo 20 metros"/>
        <s v="Parafinado negro rollo 20 metros"/>
        <s v="Parafinado blanco rollo 20 metros"/>
        <s v="Parafinado amarillo rollo 20 metros"/>
        <s v="Parafinado azul rollo 20 metros"/>
        <s v="Parafinado verde rollo 20 metros"/>
        <s v="Parafinado disenio rojo rollo 20 metros"/>
        <s v="Parafinado 30x30 rojo"/>
        <s v="Parafinado 30x30 negro"/>
        <s v="Parafinado 30x30 blanco"/>
        <s v="Parafinado 30x30 amarillo"/>
        <s v="Parafinado 30x30 azul"/>
        <s v="Parafinado 30x30 verde"/>
        <s v="Parafinado 30x30 disenio"/>
        <s v="Parafinado 30x40 rojo"/>
        <s v="Parafinado 30x40 negro"/>
        <s v="Parafinado 30x40 blanco"/>
        <s v="Parafinado 30x40 amarillo"/>
        <s v="Parafinado 30x40 azul"/>
        <s v="Parafinado 30x40 verde"/>
        <s v="Parafinado 30x40 disenio rojo"/>
        <s v="Parafinado 30x30 Bio rojo"/>
        <s v="Parafinado 30x30 Bio negro"/>
        <s v="Parafinado 30x30 Bio disenio"/>
        <s v="Parafinado Bolsillo rojo"/>
        <s v="Parafinado Bolsillo rojo cuadrados grandes"/>
        <s v="Parafinado Bolsillo negro"/>
        <s v="Parafinado Bolsillo hamburguesa"/>
        <s v="Parafinado Bolsillo naranja"/>
        <s v="Papel Aluminio 7 metros"/>
        <s v="Papel Aluminio 16 metros"/>
        <s v="Papel Aluminio 40 metros"/>
        <s v="Papel Aluminio 100 metros"/>
        <s v="Mezclador Negro"/>
        <s v="Palillo bamboo 25 cm grueso"/>
        <s v="Palillo bamboo 30 cm grueso"/>
        <s v="Palillo pequenio"/>
        <s v="Palillo grande"/>
        <s v="Vinipel alimento 50 metros"/>
        <s v="Vinipel alimento 100 metros"/>
        <s v="Vinipel alimento 200 metros"/>
        <s v="Vinipel alimento 300 metros"/>
        <s v="Vinipel alimento 500 metros"/>
        <s v="Bolsillo Aluminio L-17"/>
        <s v="Bolsillo Aluminio L-19"/>
        <s v="Bolsillo Aluminio L-21"/>
        <s v="Bolsillo Aluminio L-23"/>
        <s v="Bolsillo Aluminio L-25"/>
        <s v="Vinipel stress 5x300"/>
        <s v="Vinipel stress 6x300"/>
        <s v="Vinipel stress 6x500"/>
        <s v="Vinipel stress 8x500"/>
        <s v="Vinipel stress 12x300"/>
        <s v="Vinipel stress 12x500"/>
        <s v="Vinipel stress 20x300"/>
        <s v="Vinipel stress 20x500"/>
        <s v="Porta perro"/>
        <s v="Porta pizza"/>
        <s v="Porta arepa"/>
        <s v="Porta hamburguesa"/>
        <s v="Bolsa polipropileno 3  1/2 x20"/>
        <s v="Bolsa polipropileno 4x20"/>
        <s v="Bolsa polipropileno decorada 6x20"/>
        <s v="Bolsa polipropileno decorada 8x15"/>
        <s v="Bolsa polipropileno decorada 7x20"/>
        <s v="Bolsa polipropileno decorada 8x20"/>
        <s v="Bolsa polipropileno decorada 7x15"/>
        <s v="Bolsa polipropileno decorada 5x7"/>
        <s v="Bolsa polipropileno transp 8x15"/>
        <s v="Bolsa polipropileno transp 9x14"/>
        <s v="Bolsa polipropileno transp 10x16"/>
        <s v="Bolsa polipropileno transp 6x8"/>
      </sharedItems>
    </cacheField>
    <cacheField name="[Measures].[Sum of unidades 2]" caption="Sum of unidades 2" numFmtId="0" hierarchy="45" level="32767"/>
    <cacheField name="[inventario_actual].[id_producto].[id_producto]" caption="id_producto" numFmtId="0" hierarchy="15" level="1">
      <sharedItems count="88">
        <s v="00101"/>
        <s v="00102"/>
        <s v="00103"/>
        <s v="00104"/>
        <s v="00105"/>
        <s v="00106"/>
        <s v="00107"/>
        <s v="00108"/>
        <s v="00201"/>
        <s v="00202"/>
        <s v="00203"/>
        <s v="00204"/>
        <s v="00205"/>
        <s v="00206"/>
        <s v="00207"/>
        <s v="00208"/>
        <s v="00301"/>
        <s v="00302"/>
        <s v="00303"/>
        <s v="00304"/>
        <s v="00305"/>
        <s v="00306"/>
        <s v="00307"/>
        <s v="00401"/>
        <s v="00402"/>
        <s v="00403"/>
        <s v="00404"/>
        <s v="00405"/>
        <s v="00406"/>
        <s v="00407"/>
        <s v="00501"/>
        <s v="00502"/>
        <s v="00503"/>
        <s v="00504"/>
        <s v="00505"/>
        <s v="00506"/>
        <s v="00507"/>
        <s v="00601"/>
        <s v="00602"/>
        <s v="00603"/>
        <s v="00701"/>
        <s v="00702"/>
        <s v="00703"/>
        <s v="00704"/>
        <s v="00705"/>
        <s v="00801"/>
        <s v="00802"/>
        <s v="00803"/>
        <s v="00804"/>
        <s v="00901"/>
        <s v="01001"/>
        <s v="01002"/>
        <s v="01003"/>
        <s v="01004"/>
        <s v="01101"/>
        <s v="01102"/>
        <s v="01103"/>
        <s v="01104"/>
        <s v="01105"/>
        <s v="01201"/>
        <s v="01202"/>
        <s v="01203"/>
        <s v="01204"/>
        <s v="01205"/>
        <s v="01301"/>
        <s v="01302"/>
        <s v="01303"/>
        <s v="01304"/>
        <s v="01305"/>
        <s v="01306"/>
        <s v="01307"/>
        <s v="01308"/>
        <s v="01401"/>
        <s v="01402"/>
        <s v="01403"/>
        <s v="01404"/>
        <s v="01501"/>
        <s v="01502"/>
        <s v="01503"/>
        <s v="01504"/>
        <s v="01505"/>
        <s v="01506"/>
        <s v="01507"/>
        <s v="01508"/>
        <s v="01509"/>
        <s v="01510"/>
        <s v="01511"/>
        <s v="01512"/>
      </sharedItems>
    </cacheField>
    <cacheField name="[inventario_actual].[categoria].[categoria]" caption="categoria" numFmtId="0" hierarchy="16" level="1">
      <sharedItems containsSemiMixedTypes="0" containsNonDate="0" containsString="0"/>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2" memberValueDatatype="130" unbalanced="0">
      <fieldsUsage count="2">
        <fieldUsage x="-1"/>
        <fieldUsage x="2"/>
      </fieldsUsage>
    </cacheHierarchy>
    <cacheHierarchy uniqueName="[inventario_actual].[categoria]" caption="categoria" attribute="1" defaultMemberUniqueName="[inventario_actual].[categoria].[All]" allUniqueName="[inventario_actual].[categoria].[All]" dimensionUniqueName="[inventario_actual]" displayFolder="" count="2" memberValueDatatype="130" unbalanced="0">
      <fieldsUsage count="2">
        <fieldUsage x="-1"/>
        <fieldUsage x="3"/>
      </fieldsUsage>
    </cacheHierarchy>
    <cacheHierarchy uniqueName="[inventario_actual].[descripcion]" caption="descripcion" attribute="1" defaultMemberUniqueName="[inventario_actual].[descripcion].[All]" allUniqueName="[inventario_actual].[descripcion].[All]" dimensionUniqueName="[inventario_actual]" displayFolder="" count="2" memberValueDatatype="130" unbalanced="0">
      <fieldsUsage count="2">
        <fieldUsage x="-1"/>
        <fieldUsage x="0"/>
      </fieldsUsage>
    </cacheHierarchy>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oneField="1" hidden="1">
      <fieldsUsage count="1">
        <fieldUsage x="1"/>
      </fieldsUsage>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8.716990624998" backgroundQuery="1" createdVersion="8" refreshedVersion="8" minRefreshableVersion="3" recordCount="0" supportSubquery="1" supportAdvancedDrill="1" xr:uid="{11B3C2EE-93A9-4D44-B6D5-7B3489BA4C7F}">
  <cacheSource type="external" connectionId="14"/>
  <cacheFields count="6">
    <cacheField name="[historico_movimientos].[fecha].[fecha]" caption="fecha" numFmtId="0" hierarchy="4" level="1">
      <sharedItems containsSemiMixedTypes="0" containsNonDate="0" containsDate="1" containsString="0" minDate="2023-10-19T00:00:00" maxDate="2024-02-08T00:00:00" count="2">
        <d v="2023-10-19T00:00:00"/>
        <d v="2024-02-07T00:00:00"/>
      </sharedItems>
    </cacheField>
    <cacheField name="[historico_movimientos].[hora].[hora]" caption="hora" numFmtId="0" hierarchy="5" level="1">
      <sharedItems containsSemiMixedTypes="0" containsNonDate="0" containsDate="1" containsString="0" minDate="1899-12-30T08:00:00" maxDate="1899-12-30T12:08:41" count="3">
        <d v="1899-12-30T08:00:00"/>
        <d v="1899-12-30T12:04:36"/>
        <d v="1899-12-30T12:08:41"/>
      </sharedItems>
      <extLst>
        <ext xmlns:x15="http://schemas.microsoft.com/office/spreadsheetml/2010/11/main" uri="{4F2E5C28-24EA-4eb8-9CBF-B6C8F9C3D259}">
          <x15:cachedUniqueNames>
            <x15:cachedUniqueName index="0" name="[historico_movimientos].[hora].&amp;[1899-12-30T08:00:00]"/>
            <x15:cachedUniqueName index="1" name="[historico_movimientos].[hora].&amp;[1899-12-30T12:04:36]"/>
            <x15:cachedUniqueName index="2" name="[historico_movimientos].[hora].&amp;[1899-12-30T12:08:41]"/>
          </x15:cachedUniqueNames>
        </ext>
      </extLst>
    </cacheField>
    <cacheField name="[historico_movimientos].[categoria].[categoria]" caption="categoria" numFmtId="0" hierarchy="8" level="1">
      <sharedItems count="1">
        <s v="Parafinado"/>
      </sharedItems>
    </cacheField>
    <cacheField name="[Measures].[Sum of unidades]" caption="Sum of unidades" numFmtId="0" hierarchy="43" level="32767"/>
    <cacheField name="[historico_movimientos].[descripcion].[descripcion]" caption="descripcion" numFmtId="0" hierarchy="7" level="1">
      <sharedItems count="1">
        <s v="Parafinado disenio rojo rollo 100 metros"/>
      </sharedItems>
    </cacheField>
    <cacheField name="[historico_movimientos].[id_producto].[id_producto]" caption="id_producto" numFmtId="0" hierarchy="2" level="1">
      <sharedItems containsSemiMixedTypes="0" containsNonDate="0" containsString="0"/>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2" memberValueDatatype="130" unbalanced="0">
      <fieldsUsage count="2">
        <fieldUsage x="-1"/>
        <fieldUsage x="5"/>
      </fieldsUsage>
    </cacheHierarchy>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2" memberValueDatatype="7" unbalanced="0">
      <fieldsUsage count="2">
        <fieldUsage x="-1"/>
        <fieldUsage x="0"/>
      </fieldsUsage>
    </cacheHierarchy>
    <cacheHierarchy uniqueName="[historico_movimientos].[hora]" caption="hora" attribute="1" time="1" defaultMemberUniqueName="[historico_movimientos].[hora].[All]" allUniqueName="[historico_movimientos].[hora].[All]" dimensionUniqueName="[historico_movimientos]" displayFolder="" count="2" memberValueDatatype="7" unbalanced="0">
      <fieldsUsage count="2">
        <fieldUsage x="-1"/>
        <fieldUsage x="1"/>
      </fieldsUsage>
    </cacheHierarchy>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2" memberValueDatatype="130" unbalanced="0">
      <fieldsUsage count="2">
        <fieldUsage x="-1"/>
        <fieldUsage x="4"/>
      </fieldsUsage>
    </cacheHierarchy>
    <cacheHierarchy uniqueName="[historico_movimientos].[categoria]" caption="categoria" attribute="1" defaultMemberUniqueName="[historico_movimientos].[categoria].[All]" allUniqueName="[historico_movimientos].[categoria].[All]" dimensionUniqueName="[historico_movimientos]" displayFolder="" count="2" memberValueDatatype="130" unbalanced="0">
      <fieldsUsage count="2">
        <fieldUsage x="-1"/>
        <fieldUsage x="2"/>
      </fieldsUsage>
    </cacheHierarchy>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oneField="1" hidden="1">
      <fieldsUsage count="1">
        <fieldUsage x="3"/>
      </fieldsUsage>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7.751090625003" backgroundQuery="1" createdVersion="3" refreshedVersion="8" minRefreshableVersion="3" recordCount="0" supportSubquery="1" supportAdvancedDrill="1" xr:uid="{6BC30659-7016-4297-8167-B4A644B37218}">
  <cacheSource type="external" connectionId="14">
    <extLst>
      <ext xmlns:x14="http://schemas.microsoft.com/office/spreadsheetml/2009/9/main" uri="{F057638F-6D5F-4e77-A914-E7F072B9BCA8}">
        <x14:sourceConnection name="ThisWorkbookDataModel"/>
      </ext>
    </extLst>
  </cacheSource>
  <cacheFields count="0"/>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2"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2"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extLst>
    <ext xmlns:x14="http://schemas.microsoft.com/office/spreadsheetml/2009/9/main" uri="{725AE2AE-9491-48be-B2B4-4EB974FC3084}">
      <x14:pivotCacheDefinition slicerData="1" pivotCacheId="1750676932"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8.678595138888" backgroundQuery="1" createdVersion="3" refreshedVersion="8" minRefreshableVersion="3" recordCount="0" supportSubquery="1" supportAdvancedDrill="1" xr:uid="{37AAA8B0-FD2E-4838-8005-97C728BB0FF8}">
  <cacheSource type="external" connectionId="14">
    <extLst>
      <ext xmlns:x14="http://schemas.microsoft.com/office/spreadsheetml/2009/9/main" uri="{F057638F-6D5F-4e77-A914-E7F072B9BCA8}">
        <x14:sourceConnection name="ThisWorkbookDataModel"/>
      </ext>
    </extLst>
  </cacheSource>
  <cacheFields count="0"/>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2"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2"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extLst>
    <ext xmlns:x14="http://schemas.microsoft.com/office/spreadsheetml/2009/9/main" uri="{725AE2AE-9491-48be-B2B4-4EB974FC3084}">
      <x14:pivotCacheDefinition slicerData="1" pivotCacheId="1895198520"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8.679559490738" backgroundQuery="1" createdVersion="3" refreshedVersion="8" minRefreshableVersion="3" recordCount="0" supportSubquery="1" supportAdvancedDrill="1" xr:uid="{0791F160-B579-425E-BDA2-91B568F0E2D9}">
  <cacheSource type="external" connectionId="14">
    <extLst>
      <ext xmlns:x14="http://schemas.microsoft.com/office/spreadsheetml/2009/9/main" uri="{F057638F-6D5F-4e77-A914-E7F072B9BCA8}">
        <x14:sourceConnection name="ThisWorkbookDataModel"/>
      </ext>
    </extLst>
  </cacheSource>
  <cacheFields count="0"/>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2"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extLst>
    <ext xmlns:x14="http://schemas.microsoft.com/office/spreadsheetml/2009/9/main" uri="{725AE2AE-9491-48be-B2B4-4EB974FC3084}">
      <x14:pivotCacheDefinition slicerData="1" pivotCacheId="37738463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5EED36B-954C-40C5-B9E4-039F5FB2BF5A}" name="PivotTable3" cacheId="94" applyNumberFormats="0" applyBorderFormats="0" applyFontFormats="0" applyPatternFormats="0" applyAlignmentFormats="0" applyWidthHeightFormats="1" dataCaption="Values" tag="91d4df0c-b5af-4d0e-a378-4062d756d2e5" updatedVersion="8" minRefreshableVersion="3" showDrill="0" preserveFormatting="0" itemPrintTitles="1" createdVersion="8" indent="0" compact="0" compactData="0" multipleFieldFilters="0">
  <location ref="J7:N11" firstHeaderRow="1" firstDataRow="1" firstDataCol="4"/>
  <pivotFields count="6">
    <pivotField axis="axisRow" compact="0" allDrilled="1" outline="0" subtotalTop="0" showAll="0" sortType="ascending" defaultSubtotal="0" defaultAttributeDrillState="1">
      <items count="2">
        <item x="0"/>
        <item x="1"/>
      </items>
      <extLst>
        <ext xmlns:x14="http://schemas.microsoft.com/office/spreadsheetml/2009/9/main" uri="{2946ED86-A175-432a-8AC1-64E0C546D7DE}">
          <x14:pivotField fillDownLabels="1"/>
        </ext>
      </extLst>
    </pivotField>
    <pivotField axis="axisRow" compact="0" allDrilled="1" outline="0" subtotalTop="0" showAll="0" defaultSubtotal="0" defaultAttributeDrillState="1">
      <items count="3">
        <item x="0"/>
        <item x="1"/>
        <item x="2"/>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1">
        <item x="0"/>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1">
        <item x="0"/>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4">
    <field x="0"/>
    <field x="1"/>
    <field x="2"/>
    <field x="4"/>
  </rowFields>
  <rowItems count="4">
    <i>
      <x/>
      <x/>
      <x/>
      <x/>
    </i>
    <i>
      <x v="1"/>
      <x v="1"/>
      <x/>
      <x/>
    </i>
    <i r="1">
      <x v="2"/>
      <x/>
      <x/>
    </i>
    <i t="grand">
      <x/>
    </i>
  </rowItems>
  <colItems count="1">
    <i/>
  </colItems>
  <dataFields count="1">
    <dataField name="Sum of unidades" fld="3" baseField="0" baseItem="0"/>
  </dataFields>
  <conditionalFormats count="3">
    <conditionalFormat scope="data" priority="5">
      <pivotAreas count="1">
        <pivotArea outline="0" fieldPosition="0">
          <references count="1">
            <reference field="4294967294" count="1" selected="0">
              <x v="0"/>
            </reference>
          </references>
        </pivotArea>
      </pivotAreas>
    </conditionalFormat>
    <conditionalFormat scope="data" priority="6">
      <pivotAreas count="1">
        <pivotArea outline="0" fieldPosition="0">
          <references count="1">
            <reference field="4294967294" count="1" selected="0">
              <x v="0"/>
            </reference>
          </references>
        </pivotArea>
      </pivotAreas>
    </conditionalFormat>
    <conditionalFormat scope="data" priority="7">
      <pivotAreas count="1">
        <pivotArea outline="0" fieldPosition="0">
          <references count="1">
            <reference field="4294967294" count="1" selected="0">
              <x v="0"/>
            </reference>
          </references>
        </pivotArea>
      </pivotAreas>
    </conditionalFormat>
  </conditionalFormats>
  <pivotHierarchies count="48">
    <pivotHierarchy dragToData="1"/>
    <pivotHierarchy dragToData="1"/>
    <pivotHierarchy multipleItemSelectionAllowed="1" dragToData="1">
      <members count="1" level="1">
        <member name="[historico_movimientos].[id_producto].&amp;[00107]"/>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lastisol-1" showRowHeaders="1" showColHeaders="1" showRowStripes="0" showColStripes="0" showLastColumn="1"/>
  <rowHierarchiesUsage count="4">
    <rowHierarchyUsage hierarchyUsage="4"/>
    <rowHierarchyUsage hierarchyUsage="5"/>
    <rowHierarchyUsage hierarchyUsage="8"/>
    <rowHierarchyUsage hierarchyUsage="7"/>
  </rowHierarchiesUsage>
  <extLst>
    <ext xmlns:x14="http://schemas.microsoft.com/office/spreadsheetml/2009/9/main" uri="{962EF5D1-5CA2-4c93-8EF4-DBF5C05439D2}">
      <x14:pivotTableDefinition xmlns:xm="http://schemas.microsoft.com/office/excel/2006/main" fillDownLabelsDefault="1" calculatedMembersInFilters="1" hideValuesRow="1">
        <x14:conditionalFormats count="1">
          <x14:conditionalFormat scope="data" priority="1" id="{94139F1B-3F06-4B6D-8090-3A1FCE453C68}">
            <x14:pivotAreas count="1">
              <pivotArea outline="0" fieldPosition="0">
                <references count="1">
                  <reference field="4294967294" count="1" selected="0">
                    <x v="0"/>
                  </reference>
                </references>
              </pivotArea>
            </x14:pivotAreas>
          </x14:conditionalFormat>
        </x14:conditionalFormats>
      </x14:pivotTableDefinition>
    </ext>
    <ext xmlns:x15="http://schemas.microsoft.com/office/spreadsheetml/2010/11/main" uri="{E67621CE-5B39-4880-91FE-76760E9C1902}">
      <x15:pivotTableUISettings>
        <x15:activeTabTopLevelEntity name="[inventario_actual]"/>
        <x15:activeTabTopLevelEntity name="[historico_movimiento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65D75A-8BD4-48D4-A85D-E38083FD9456}" name="PivotTable2" cacheId="93" applyNumberFormats="0" applyBorderFormats="0" applyFontFormats="0" applyPatternFormats="0" applyAlignmentFormats="0" applyWidthHeightFormats="1" dataCaption="Values" tag="66b3cf8f-248e-4502-a7a5-66fd6e99799e" updatedVersion="8" minRefreshableVersion="3" showDrill="0" useAutoFormatting="1" itemPrintTitles="1" createdVersion="8" indent="0" compact="0" compactData="0" multipleFieldFilters="0">
  <location ref="D7:F97" firstHeaderRow="1" firstDataRow="1" firstDataCol="2"/>
  <pivotFields count="4">
    <pivotField axis="axisRow" compact="0" allDrilled="1" outline="0" subtotalTop="0" showAll="0" dataSourceSort="1" defaultSubtotal="0"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2">
    <field x="2"/>
    <field x="0"/>
  </rowFields>
  <rowItems count="90">
    <i>
      <x/>
      <x/>
    </i>
    <i>
      <x v="1"/>
      <x v="1"/>
    </i>
    <i r="1">
      <x/>
    </i>
    <i>
      <x v="2"/>
      <x v="2"/>
    </i>
    <i>
      <x v="3"/>
      <x v="3"/>
    </i>
    <i>
      <x v="4"/>
      <x v="4"/>
    </i>
    <i>
      <x v="5"/>
      <x v="5"/>
    </i>
    <i>
      <x v="6"/>
      <x v="6"/>
    </i>
    <i>
      <x v="7"/>
      <x v="7"/>
    </i>
    <i>
      <x v="8"/>
      <x v="8"/>
    </i>
    <i>
      <x v="9"/>
      <x v="9"/>
    </i>
    <i>
      <x v="10"/>
      <x v="10"/>
    </i>
    <i>
      <x v="11"/>
      <x v="11"/>
    </i>
    <i>
      <x v="12"/>
      <x v="12"/>
    </i>
    <i>
      <x v="13"/>
      <x v="13"/>
    </i>
    <i>
      <x v="14"/>
      <x v="14"/>
    </i>
    <i>
      <x v="15"/>
      <x v="15"/>
    </i>
    <i>
      <x v="16"/>
      <x v="16"/>
    </i>
    <i>
      <x v="17"/>
      <x v="17"/>
    </i>
    <i>
      <x v="18"/>
      <x v="18"/>
    </i>
    <i>
      <x v="19"/>
      <x v="19"/>
    </i>
    <i>
      <x v="20"/>
      <x v="20"/>
    </i>
    <i>
      <x v="21"/>
      <x v="21"/>
    </i>
    <i>
      <x v="22"/>
      <x v="22"/>
    </i>
    <i>
      <x v="23"/>
      <x v="23"/>
    </i>
    <i>
      <x v="24"/>
      <x v="24"/>
    </i>
    <i>
      <x v="25"/>
      <x v="25"/>
    </i>
    <i>
      <x v="26"/>
      <x v="26"/>
    </i>
    <i>
      <x v="27"/>
      <x v="27"/>
    </i>
    <i>
      <x v="28"/>
      <x v="28"/>
    </i>
    <i>
      <x v="29"/>
      <x v="29"/>
    </i>
    <i>
      <x v="30"/>
      <x v="30"/>
    </i>
    <i>
      <x v="31"/>
      <x v="31"/>
    </i>
    <i>
      <x v="32"/>
      <x v="32"/>
    </i>
    <i>
      <x v="33"/>
      <x v="33"/>
    </i>
    <i>
      <x v="34"/>
      <x v="34"/>
    </i>
    <i>
      <x v="35"/>
      <x v="35"/>
    </i>
    <i>
      <x v="36"/>
      <x v="36"/>
    </i>
    <i>
      <x v="37"/>
      <x v="37"/>
    </i>
    <i>
      <x v="38"/>
      <x v="38"/>
    </i>
    <i>
      <x v="39"/>
      <x v="39"/>
    </i>
    <i>
      <x v="40"/>
      <x v="40"/>
    </i>
    <i>
      <x v="41"/>
      <x v="41"/>
    </i>
    <i>
      <x v="42"/>
      <x v="42"/>
    </i>
    <i>
      <x v="43"/>
      <x v="43"/>
    </i>
    <i>
      <x v="44"/>
      <x v="44"/>
    </i>
    <i>
      <x v="45"/>
      <x v="45"/>
    </i>
    <i>
      <x v="46"/>
      <x v="46"/>
    </i>
    <i>
      <x v="47"/>
      <x v="47"/>
    </i>
    <i>
      <x v="48"/>
      <x v="48"/>
    </i>
    <i>
      <x v="49"/>
      <x v="49"/>
    </i>
    <i>
      <x v="50"/>
      <x v="50"/>
    </i>
    <i>
      <x v="51"/>
      <x v="51"/>
    </i>
    <i>
      <x v="52"/>
      <x v="52"/>
    </i>
    <i>
      <x v="53"/>
      <x v="53"/>
    </i>
    <i>
      <x v="54"/>
      <x v="54"/>
    </i>
    <i>
      <x v="55"/>
      <x v="55"/>
    </i>
    <i>
      <x v="56"/>
      <x v="56"/>
    </i>
    <i>
      <x v="57"/>
      <x v="57"/>
    </i>
    <i>
      <x v="58"/>
      <x v="58"/>
    </i>
    <i>
      <x v="59"/>
      <x v="59"/>
    </i>
    <i>
      <x v="60"/>
      <x v="60"/>
    </i>
    <i>
      <x v="61"/>
      <x v="61"/>
    </i>
    <i>
      <x v="62"/>
      <x v="62"/>
    </i>
    <i>
      <x v="63"/>
      <x v="63"/>
    </i>
    <i>
      <x v="64"/>
      <x v="64"/>
    </i>
    <i>
      <x v="65"/>
      <x v="65"/>
    </i>
    <i>
      <x v="66"/>
      <x v="66"/>
    </i>
    <i>
      <x v="67"/>
      <x v="67"/>
    </i>
    <i>
      <x v="68"/>
      <x v="68"/>
    </i>
    <i>
      <x v="69"/>
      <x v="69"/>
    </i>
    <i>
      <x v="70"/>
      <x v="70"/>
    </i>
    <i>
      <x v="71"/>
      <x v="71"/>
    </i>
    <i>
      <x v="72"/>
      <x v="72"/>
    </i>
    <i>
      <x v="73"/>
      <x v="73"/>
    </i>
    <i>
      <x v="74"/>
      <x v="74"/>
    </i>
    <i>
      <x v="75"/>
      <x v="75"/>
    </i>
    <i>
      <x v="76"/>
      <x v="76"/>
    </i>
    <i>
      <x v="77"/>
      <x v="77"/>
    </i>
    <i>
      <x v="78"/>
      <x v="78"/>
    </i>
    <i>
      <x v="79"/>
      <x v="79"/>
    </i>
    <i>
      <x v="80"/>
      <x v="80"/>
    </i>
    <i>
      <x v="81"/>
      <x v="81"/>
    </i>
    <i>
      <x v="82"/>
      <x v="82"/>
    </i>
    <i>
      <x v="83"/>
      <x v="83"/>
    </i>
    <i>
      <x v="84"/>
      <x v="84"/>
    </i>
    <i>
      <x v="85"/>
      <x v="85"/>
    </i>
    <i>
      <x v="86"/>
      <x v="86"/>
    </i>
    <i>
      <x v="87"/>
      <x v="87"/>
    </i>
    <i t="grand">
      <x/>
    </i>
  </rowItems>
  <colItems count="1">
    <i/>
  </colItems>
  <dataFields count="1">
    <dataField name="Unidades" fld="1" baseField="0" baseItem="0"/>
  </dataFields>
  <formats count="96">
    <format dxfId="151">
      <pivotArea type="all" dataOnly="0" outline="0" fieldPosition="0"/>
    </format>
    <format dxfId="150">
      <pivotArea outline="0" collapsedLevelsAreSubtotals="1" fieldPosition="0"/>
    </format>
    <format dxfId="149">
      <pivotArea field="2" type="button" dataOnly="0" labelOnly="1" outline="0" axis="axisRow" fieldPosition="0"/>
    </format>
    <format dxfId="148">
      <pivotArea field="0" type="button" dataOnly="0" labelOnly="1" outline="0" axis="axisRow" fieldPosition="1"/>
    </format>
    <format dxfId="147">
      <pivotArea dataOnly="0" labelOnly="1" outline="0"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46">
      <pivotArea dataOnly="0" labelOnly="1" outline="0" fieldPosition="0">
        <references count="1">
          <reference field="2" count="38">
            <x v="50"/>
            <x v="51"/>
            <x v="52"/>
            <x v="53"/>
            <x v="54"/>
            <x v="55"/>
            <x v="56"/>
            <x v="57"/>
            <x v="58"/>
            <x v="59"/>
            <x v="60"/>
            <x v="61"/>
            <x v="62"/>
            <x v="63"/>
            <x v="64"/>
            <x v="65"/>
            <x v="66"/>
            <x v="67"/>
            <x v="68"/>
            <x v="69"/>
            <x v="70"/>
            <x v="71"/>
            <x v="72"/>
            <x v="73"/>
            <x v="74"/>
            <x v="75"/>
            <x v="76"/>
            <x v="77"/>
            <x v="78"/>
            <x v="79"/>
            <x v="80"/>
            <x v="81"/>
            <x v="82"/>
            <x v="83"/>
            <x v="84"/>
            <x v="85"/>
            <x v="86"/>
            <x v="87"/>
          </reference>
        </references>
      </pivotArea>
    </format>
    <format dxfId="145">
      <pivotArea dataOnly="0" labelOnly="1" grandRow="1" outline="0" fieldPosition="0"/>
    </format>
    <format dxfId="144">
      <pivotArea dataOnly="0" labelOnly="1" outline="0" fieldPosition="0">
        <references count="2">
          <reference field="0" count="1">
            <x v="0"/>
          </reference>
          <reference field="2" count="1" selected="0">
            <x v="0"/>
          </reference>
        </references>
      </pivotArea>
    </format>
    <format dxfId="143">
      <pivotArea dataOnly="0" labelOnly="1" outline="0" fieldPosition="0">
        <references count="2">
          <reference field="0" count="1">
            <x v="1"/>
          </reference>
          <reference field="2" count="1" selected="0">
            <x v="1"/>
          </reference>
        </references>
      </pivotArea>
    </format>
    <format dxfId="142">
      <pivotArea dataOnly="0" labelOnly="1" outline="0" fieldPosition="0">
        <references count="2">
          <reference field="0" count="1">
            <x v="2"/>
          </reference>
          <reference field="2" count="1" selected="0">
            <x v="2"/>
          </reference>
        </references>
      </pivotArea>
    </format>
    <format dxfId="141">
      <pivotArea dataOnly="0" labelOnly="1" outline="0" fieldPosition="0">
        <references count="2">
          <reference field="0" count="1">
            <x v="3"/>
          </reference>
          <reference field="2" count="1" selected="0">
            <x v="3"/>
          </reference>
        </references>
      </pivotArea>
    </format>
    <format dxfId="140">
      <pivotArea dataOnly="0" labelOnly="1" outline="0" fieldPosition="0">
        <references count="2">
          <reference field="0" count="1">
            <x v="4"/>
          </reference>
          <reference field="2" count="1" selected="0">
            <x v="4"/>
          </reference>
        </references>
      </pivotArea>
    </format>
    <format dxfId="139">
      <pivotArea dataOnly="0" labelOnly="1" outline="0" fieldPosition="0">
        <references count="2">
          <reference field="0" count="1">
            <x v="5"/>
          </reference>
          <reference field="2" count="1" selected="0">
            <x v="5"/>
          </reference>
        </references>
      </pivotArea>
    </format>
    <format dxfId="138">
      <pivotArea dataOnly="0" labelOnly="1" outline="0" fieldPosition="0">
        <references count="2">
          <reference field="0" count="1">
            <x v="6"/>
          </reference>
          <reference field="2" count="1" selected="0">
            <x v="6"/>
          </reference>
        </references>
      </pivotArea>
    </format>
    <format dxfId="137">
      <pivotArea dataOnly="0" labelOnly="1" outline="0" fieldPosition="0">
        <references count="2">
          <reference field="0" count="1">
            <x v="7"/>
          </reference>
          <reference field="2" count="1" selected="0">
            <x v="7"/>
          </reference>
        </references>
      </pivotArea>
    </format>
    <format dxfId="136">
      <pivotArea dataOnly="0" labelOnly="1" outline="0" fieldPosition="0">
        <references count="2">
          <reference field="0" count="1">
            <x v="8"/>
          </reference>
          <reference field="2" count="1" selected="0">
            <x v="8"/>
          </reference>
        </references>
      </pivotArea>
    </format>
    <format dxfId="135">
      <pivotArea dataOnly="0" labelOnly="1" outline="0" fieldPosition="0">
        <references count="2">
          <reference field="0" count="1">
            <x v="9"/>
          </reference>
          <reference field="2" count="1" selected="0">
            <x v="9"/>
          </reference>
        </references>
      </pivotArea>
    </format>
    <format dxfId="134">
      <pivotArea dataOnly="0" labelOnly="1" outline="0" fieldPosition="0">
        <references count="2">
          <reference field="0" count="1">
            <x v="10"/>
          </reference>
          <reference field="2" count="1" selected="0">
            <x v="10"/>
          </reference>
        </references>
      </pivotArea>
    </format>
    <format dxfId="133">
      <pivotArea dataOnly="0" labelOnly="1" outline="0" fieldPosition="0">
        <references count="2">
          <reference field="0" count="1">
            <x v="11"/>
          </reference>
          <reference field="2" count="1" selected="0">
            <x v="11"/>
          </reference>
        </references>
      </pivotArea>
    </format>
    <format dxfId="132">
      <pivotArea dataOnly="0" labelOnly="1" outline="0" fieldPosition="0">
        <references count="2">
          <reference field="0" count="1">
            <x v="12"/>
          </reference>
          <reference field="2" count="1" selected="0">
            <x v="12"/>
          </reference>
        </references>
      </pivotArea>
    </format>
    <format dxfId="131">
      <pivotArea dataOnly="0" labelOnly="1" outline="0" fieldPosition="0">
        <references count="2">
          <reference field="0" count="1">
            <x v="13"/>
          </reference>
          <reference field="2" count="1" selected="0">
            <x v="13"/>
          </reference>
        </references>
      </pivotArea>
    </format>
    <format dxfId="130">
      <pivotArea dataOnly="0" labelOnly="1" outline="0" fieldPosition="0">
        <references count="2">
          <reference field="0" count="1">
            <x v="14"/>
          </reference>
          <reference field="2" count="1" selected="0">
            <x v="14"/>
          </reference>
        </references>
      </pivotArea>
    </format>
    <format dxfId="129">
      <pivotArea dataOnly="0" labelOnly="1" outline="0" fieldPosition="0">
        <references count="2">
          <reference field="0" count="1">
            <x v="15"/>
          </reference>
          <reference field="2" count="1" selected="0">
            <x v="15"/>
          </reference>
        </references>
      </pivotArea>
    </format>
    <format dxfId="128">
      <pivotArea dataOnly="0" labelOnly="1" outline="0" fieldPosition="0">
        <references count="2">
          <reference field="0" count="1">
            <x v="16"/>
          </reference>
          <reference field="2" count="1" selected="0">
            <x v="16"/>
          </reference>
        </references>
      </pivotArea>
    </format>
    <format dxfId="127">
      <pivotArea dataOnly="0" labelOnly="1" outline="0" fieldPosition="0">
        <references count="2">
          <reference field="0" count="1">
            <x v="17"/>
          </reference>
          <reference field="2" count="1" selected="0">
            <x v="17"/>
          </reference>
        </references>
      </pivotArea>
    </format>
    <format dxfId="126">
      <pivotArea dataOnly="0" labelOnly="1" outline="0" fieldPosition="0">
        <references count="2">
          <reference field="0" count="1">
            <x v="18"/>
          </reference>
          <reference field="2" count="1" selected="0">
            <x v="18"/>
          </reference>
        </references>
      </pivotArea>
    </format>
    <format dxfId="125">
      <pivotArea dataOnly="0" labelOnly="1" outline="0" fieldPosition="0">
        <references count="2">
          <reference field="0" count="1">
            <x v="19"/>
          </reference>
          <reference field="2" count="1" selected="0">
            <x v="19"/>
          </reference>
        </references>
      </pivotArea>
    </format>
    <format dxfId="124">
      <pivotArea dataOnly="0" labelOnly="1" outline="0" fieldPosition="0">
        <references count="2">
          <reference field="0" count="1">
            <x v="20"/>
          </reference>
          <reference field="2" count="1" selected="0">
            <x v="20"/>
          </reference>
        </references>
      </pivotArea>
    </format>
    <format dxfId="123">
      <pivotArea dataOnly="0" labelOnly="1" outline="0" fieldPosition="0">
        <references count="2">
          <reference field="0" count="1">
            <x v="21"/>
          </reference>
          <reference field="2" count="1" selected="0">
            <x v="21"/>
          </reference>
        </references>
      </pivotArea>
    </format>
    <format dxfId="122">
      <pivotArea dataOnly="0" labelOnly="1" outline="0" fieldPosition="0">
        <references count="2">
          <reference field="0" count="1">
            <x v="22"/>
          </reference>
          <reference field="2" count="1" selected="0">
            <x v="22"/>
          </reference>
        </references>
      </pivotArea>
    </format>
    <format dxfId="121">
      <pivotArea dataOnly="0" labelOnly="1" outline="0" fieldPosition="0">
        <references count="2">
          <reference field="0" count="1">
            <x v="23"/>
          </reference>
          <reference field="2" count="1" selected="0">
            <x v="23"/>
          </reference>
        </references>
      </pivotArea>
    </format>
    <format dxfId="120">
      <pivotArea dataOnly="0" labelOnly="1" outline="0" fieldPosition="0">
        <references count="2">
          <reference field="0" count="1">
            <x v="24"/>
          </reference>
          <reference field="2" count="1" selected="0">
            <x v="24"/>
          </reference>
        </references>
      </pivotArea>
    </format>
    <format dxfId="119">
      <pivotArea dataOnly="0" labelOnly="1" outline="0" fieldPosition="0">
        <references count="2">
          <reference field="0" count="1">
            <x v="25"/>
          </reference>
          <reference field="2" count="1" selected="0">
            <x v="25"/>
          </reference>
        </references>
      </pivotArea>
    </format>
    <format dxfId="118">
      <pivotArea dataOnly="0" labelOnly="1" outline="0" fieldPosition="0">
        <references count="2">
          <reference field="0" count="1">
            <x v="26"/>
          </reference>
          <reference field="2" count="1" selected="0">
            <x v="26"/>
          </reference>
        </references>
      </pivotArea>
    </format>
    <format dxfId="117">
      <pivotArea dataOnly="0" labelOnly="1" outline="0" fieldPosition="0">
        <references count="2">
          <reference field="0" count="1">
            <x v="27"/>
          </reference>
          <reference field="2" count="1" selected="0">
            <x v="27"/>
          </reference>
        </references>
      </pivotArea>
    </format>
    <format dxfId="116">
      <pivotArea dataOnly="0" labelOnly="1" outline="0" fieldPosition="0">
        <references count="2">
          <reference field="0" count="1">
            <x v="28"/>
          </reference>
          <reference field="2" count="1" selected="0">
            <x v="28"/>
          </reference>
        </references>
      </pivotArea>
    </format>
    <format dxfId="115">
      <pivotArea dataOnly="0" labelOnly="1" outline="0" fieldPosition="0">
        <references count="2">
          <reference field="0" count="1">
            <x v="29"/>
          </reference>
          <reference field="2" count="1" selected="0">
            <x v="29"/>
          </reference>
        </references>
      </pivotArea>
    </format>
    <format dxfId="114">
      <pivotArea dataOnly="0" labelOnly="1" outline="0" fieldPosition="0">
        <references count="2">
          <reference field="0" count="1">
            <x v="30"/>
          </reference>
          <reference field="2" count="1" selected="0">
            <x v="30"/>
          </reference>
        </references>
      </pivotArea>
    </format>
    <format dxfId="113">
      <pivotArea dataOnly="0" labelOnly="1" outline="0" fieldPosition="0">
        <references count="2">
          <reference field="0" count="1">
            <x v="31"/>
          </reference>
          <reference field="2" count="1" selected="0">
            <x v="31"/>
          </reference>
        </references>
      </pivotArea>
    </format>
    <format dxfId="112">
      <pivotArea dataOnly="0" labelOnly="1" outline="0" fieldPosition="0">
        <references count="2">
          <reference field="0" count="1">
            <x v="32"/>
          </reference>
          <reference field="2" count="1" selected="0">
            <x v="32"/>
          </reference>
        </references>
      </pivotArea>
    </format>
    <format dxfId="111">
      <pivotArea dataOnly="0" labelOnly="1" outline="0" fieldPosition="0">
        <references count="2">
          <reference field="0" count="1">
            <x v="33"/>
          </reference>
          <reference field="2" count="1" selected="0">
            <x v="33"/>
          </reference>
        </references>
      </pivotArea>
    </format>
    <format dxfId="110">
      <pivotArea dataOnly="0" labelOnly="1" outline="0" fieldPosition="0">
        <references count="2">
          <reference field="0" count="1">
            <x v="34"/>
          </reference>
          <reference field="2" count="1" selected="0">
            <x v="34"/>
          </reference>
        </references>
      </pivotArea>
    </format>
    <format dxfId="109">
      <pivotArea dataOnly="0" labelOnly="1" outline="0" fieldPosition="0">
        <references count="2">
          <reference field="0" count="1">
            <x v="35"/>
          </reference>
          <reference field="2" count="1" selected="0">
            <x v="35"/>
          </reference>
        </references>
      </pivotArea>
    </format>
    <format dxfId="108">
      <pivotArea dataOnly="0" labelOnly="1" outline="0" fieldPosition="0">
        <references count="2">
          <reference field="0" count="1">
            <x v="36"/>
          </reference>
          <reference field="2" count="1" selected="0">
            <x v="36"/>
          </reference>
        </references>
      </pivotArea>
    </format>
    <format dxfId="107">
      <pivotArea dataOnly="0" labelOnly="1" outline="0" fieldPosition="0">
        <references count="2">
          <reference field="0" count="1">
            <x v="37"/>
          </reference>
          <reference field="2" count="1" selected="0">
            <x v="37"/>
          </reference>
        </references>
      </pivotArea>
    </format>
    <format dxfId="106">
      <pivotArea dataOnly="0" labelOnly="1" outline="0" fieldPosition="0">
        <references count="2">
          <reference field="0" count="1">
            <x v="38"/>
          </reference>
          <reference field="2" count="1" selected="0">
            <x v="38"/>
          </reference>
        </references>
      </pivotArea>
    </format>
    <format dxfId="105">
      <pivotArea dataOnly="0" labelOnly="1" outline="0" fieldPosition="0">
        <references count="2">
          <reference field="0" count="1">
            <x v="39"/>
          </reference>
          <reference field="2" count="1" selected="0">
            <x v="39"/>
          </reference>
        </references>
      </pivotArea>
    </format>
    <format dxfId="104">
      <pivotArea dataOnly="0" labelOnly="1" outline="0" fieldPosition="0">
        <references count="2">
          <reference field="0" count="1">
            <x v="40"/>
          </reference>
          <reference field="2" count="1" selected="0">
            <x v="40"/>
          </reference>
        </references>
      </pivotArea>
    </format>
    <format dxfId="103">
      <pivotArea dataOnly="0" labelOnly="1" outline="0" fieldPosition="0">
        <references count="2">
          <reference field="0" count="1">
            <x v="41"/>
          </reference>
          <reference field="2" count="1" selected="0">
            <x v="41"/>
          </reference>
        </references>
      </pivotArea>
    </format>
    <format dxfId="102">
      <pivotArea dataOnly="0" labelOnly="1" outline="0" fieldPosition="0">
        <references count="2">
          <reference field="0" count="1">
            <x v="42"/>
          </reference>
          <reference field="2" count="1" selected="0">
            <x v="42"/>
          </reference>
        </references>
      </pivotArea>
    </format>
    <format dxfId="101">
      <pivotArea dataOnly="0" labelOnly="1" outline="0" fieldPosition="0">
        <references count="2">
          <reference field="0" count="1">
            <x v="43"/>
          </reference>
          <reference field="2" count="1" selected="0">
            <x v="43"/>
          </reference>
        </references>
      </pivotArea>
    </format>
    <format dxfId="100">
      <pivotArea dataOnly="0" labelOnly="1" outline="0" fieldPosition="0">
        <references count="2">
          <reference field="0" count="1">
            <x v="44"/>
          </reference>
          <reference field="2" count="1" selected="0">
            <x v="44"/>
          </reference>
        </references>
      </pivotArea>
    </format>
    <format dxfId="99">
      <pivotArea dataOnly="0" labelOnly="1" outline="0" fieldPosition="0">
        <references count="2">
          <reference field="0" count="1">
            <x v="45"/>
          </reference>
          <reference field="2" count="1" selected="0">
            <x v="45"/>
          </reference>
        </references>
      </pivotArea>
    </format>
    <format dxfId="98">
      <pivotArea dataOnly="0" labelOnly="1" outline="0" fieldPosition="0">
        <references count="2">
          <reference field="0" count="1">
            <x v="46"/>
          </reference>
          <reference field="2" count="1" selected="0">
            <x v="46"/>
          </reference>
        </references>
      </pivotArea>
    </format>
    <format dxfId="97">
      <pivotArea dataOnly="0" labelOnly="1" outline="0" fieldPosition="0">
        <references count="2">
          <reference field="0" count="1">
            <x v="47"/>
          </reference>
          <reference field="2" count="1" selected="0">
            <x v="47"/>
          </reference>
        </references>
      </pivotArea>
    </format>
    <format dxfId="96">
      <pivotArea dataOnly="0" labelOnly="1" outline="0" fieldPosition="0">
        <references count="2">
          <reference field="0" count="1">
            <x v="48"/>
          </reference>
          <reference field="2" count="1" selected="0">
            <x v="48"/>
          </reference>
        </references>
      </pivotArea>
    </format>
    <format dxfId="95">
      <pivotArea dataOnly="0" labelOnly="1" outline="0" fieldPosition="0">
        <references count="2">
          <reference field="0" count="1">
            <x v="49"/>
          </reference>
          <reference field="2" count="1" selected="0">
            <x v="49"/>
          </reference>
        </references>
      </pivotArea>
    </format>
    <format dxfId="94">
      <pivotArea dataOnly="0" labelOnly="1" outline="0" fieldPosition="0">
        <references count="2">
          <reference field="0" count="1">
            <x v="50"/>
          </reference>
          <reference field="2" count="1" selected="0">
            <x v="50"/>
          </reference>
        </references>
      </pivotArea>
    </format>
    <format dxfId="93">
      <pivotArea dataOnly="0" labelOnly="1" outline="0" fieldPosition="0">
        <references count="2">
          <reference field="0" count="1">
            <x v="51"/>
          </reference>
          <reference field="2" count="1" selected="0">
            <x v="51"/>
          </reference>
        </references>
      </pivotArea>
    </format>
    <format dxfId="92">
      <pivotArea dataOnly="0" labelOnly="1" outline="0" fieldPosition="0">
        <references count="2">
          <reference field="0" count="1">
            <x v="52"/>
          </reference>
          <reference field="2" count="1" selected="0">
            <x v="52"/>
          </reference>
        </references>
      </pivotArea>
    </format>
    <format dxfId="91">
      <pivotArea dataOnly="0" labelOnly="1" outline="0" fieldPosition="0">
        <references count="2">
          <reference field="0" count="1">
            <x v="53"/>
          </reference>
          <reference field="2" count="1" selected="0">
            <x v="53"/>
          </reference>
        </references>
      </pivotArea>
    </format>
    <format dxfId="90">
      <pivotArea dataOnly="0" labelOnly="1" outline="0" fieldPosition="0">
        <references count="2">
          <reference field="0" count="1">
            <x v="54"/>
          </reference>
          <reference field="2" count="1" selected="0">
            <x v="54"/>
          </reference>
        </references>
      </pivotArea>
    </format>
    <format dxfId="89">
      <pivotArea dataOnly="0" labelOnly="1" outline="0" fieldPosition="0">
        <references count="2">
          <reference field="0" count="1">
            <x v="55"/>
          </reference>
          <reference field="2" count="1" selected="0">
            <x v="55"/>
          </reference>
        </references>
      </pivotArea>
    </format>
    <format dxfId="88">
      <pivotArea dataOnly="0" labelOnly="1" outline="0" fieldPosition="0">
        <references count="2">
          <reference field="0" count="1">
            <x v="56"/>
          </reference>
          <reference field="2" count="1" selected="0">
            <x v="56"/>
          </reference>
        </references>
      </pivotArea>
    </format>
    <format dxfId="87">
      <pivotArea dataOnly="0" labelOnly="1" outline="0" fieldPosition="0">
        <references count="2">
          <reference field="0" count="1">
            <x v="57"/>
          </reference>
          <reference field="2" count="1" selected="0">
            <x v="57"/>
          </reference>
        </references>
      </pivotArea>
    </format>
    <format dxfId="86">
      <pivotArea dataOnly="0" labelOnly="1" outline="0" fieldPosition="0">
        <references count="2">
          <reference field="0" count="1">
            <x v="58"/>
          </reference>
          <reference field="2" count="1" selected="0">
            <x v="58"/>
          </reference>
        </references>
      </pivotArea>
    </format>
    <format dxfId="85">
      <pivotArea dataOnly="0" labelOnly="1" outline="0" fieldPosition="0">
        <references count="2">
          <reference field="0" count="1">
            <x v="59"/>
          </reference>
          <reference field="2" count="1" selected="0">
            <x v="59"/>
          </reference>
        </references>
      </pivotArea>
    </format>
    <format dxfId="84">
      <pivotArea dataOnly="0" labelOnly="1" outline="0" fieldPosition="0">
        <references count="2">
          <reference field="0" count="1">
            <x v="60"/>
          </reference>
          <reference field="2" count="1" selected="0">
            <x v="60"/>
          </reference>
        </references>
      </pivotArea>
    </format>
    <format dxfId="83">
      <pivotArea dataOnly="0" labelOnly="1" outline="0" fieldPosition="0">
        <references count="2">
          <reference field="0" count="1">
            <x v="61"/>
          </reference>
          <reference field="2" count="1" selected="0">
            <x v="61"/>
          </reference>
        </references>
      </pivotArea>
    </format>
    <format dxfId="82">
      <pivotArea dataOnly="0" labelOnly="1" outline="0" fieldPosition="0">
        <references count="2">
          <reference field="0" count="1">
            <x v="62"/>
          </reference>
          <reference field="2" count="1" selected="0">
            <x v="62"/>
          </reference>
        </references>
      </pivotArea>
    </format>
    <format dxfId="81">
      <pivotArea dataOnly="0" labelOnly="1" outline="0" fieldPosition="0">
        <references count="2">
          <reference field="0" count="1">
            <x v="63"/>
          </reference>
          <reference field="2" count="1" selected="0">
            <x v="63"/>
          </reference>
        </references>
      </pivotArea>
    </format>
    <format dxfId="80">
      <pivotArea dataOnly="0" labelOnly="1" outline="0" fieldPosition="0">
        <references count="2">
          <reference field="0" count="1">
            <x v="64"/>
          </reference>
          <reference field="2" count="1" selected="0">
            <x v="64"/>
          </reference>
        </references>
      </pivotArea>
    </format>
    <format dxfId="79">
      <pivotArea dataOnly="0" labelOnly="1" outline="0" fieldPosition="0">
        <references count="2">
          <reference field="0" count="1">
            <x v="65"/>
          </reference>
          <reference field="2" count="1" selected="0">
            <x v="65"/>
          </reference>
        </references>
      </pivotArea>
    </format>
    <format dxfId="78">
      <pivotArea dataOnly="0" labelOnly="1" outline="0" fieldPosition="0">
        <references count="2">
          <reference field="0" count="1">
            <x v="66"/>
          </reference>
          <reference field="2" count="1" selected="0">
            <x v="66"/>
          </reference>
        </references>
      </pivotArea>
    </format>
    <format dxfId="77">
      <pivotArea dataOnly="0" labelOnly="1" outline="0" fieldPosition="0">
        <references count="2">
          <reference field="0" count="1">
            <x v="67"/>
          </reference>
          <reference field="2" count="1" selected="0">
            <x v="67"/>
          </reference>
        </references>
      </pivotArea>
    </format>
    <format dxfId="76">
      <pivotArea dataOnly="0" labelOnly="1" outline="0" fieldPosition="0">
        <references count="2">
          <reference field="0" count="1">
            <x v="68"/>
          </reference>
          <reference field="2" count="1" selected="0">
            <x v="68"/>
          </reference>
        </references>
      </pivotArea>
    </format>
    <format dxfId="75">
      <pivotArea dataOnly="0" labelOnly="1" outline="0" fieldPosition="0">
        <references count="2">
          <reference field="0" count="1">
            <x v="69"/>
          </reference>
          <reference field="2" count="1" selected="0">
            <x v="69"/>
          </reference>
        </references>
      </pivotArea>
    </format>
    <format dxfId="74">
      <pivotArea dataOnly="0" labelOnly="1" outline="0" fieldPosition="0">
        <references count="2">
          <reference field="0" count="1">
            <x v="70"/>
          </reference>
          <reference field="2" count="1" selected="0">
            <x v="70"/>
          </reference>
        </references>
      </pivotArea>
    </format>
    <format dxfId="73">
      <pivotArea dataOnly="0" labelOnly="1" outline="0" fieldPosition="0">
        <references count="2">
          <reference field="0" count="1">
            <x v="71"/>
          </reference>
          <reference field="2" count="1" selected="0">
            <x v="71"/>
          </reference>
        </references>
      </pivotArea>
    </format>
    <format dxfId="72">
      <pivotArea dataOnly="0" labelOnly="1" outline="0" fieldPosition="0">
        <references count="2">
          <reference field="0" count="1">
            <x v="72"/>
          </reference>
          <reference field="2" count="1" selected="0">
            <x v="72"/>
          </reference>
        </references>
      </pivotArea>
    </format>
    <format dxfId="71">
      <pivotArea dataOnly="0" labelOnly="1" outline="0" fieldPosition="0">
        <references count="2">
          <reference field="0" count="1">
            <x v="73"/>
          </reference>
          <reference field="2" count="1" selected="0">
            <x v="73"/>
          </reference>
        </references>
      </pivotArea>
    </format>
    <format dxfId="70">
      <pivotArea dataOnly="0" labelOnly="1" outline="0" fieldPosition="0">
        <references count="2">
          <reference field="0" count="1">
            <x v="74"/>
          </reference>
          <reference field="2" count="1" selected="0">
            <x v="74"/>
          </reference>
        </references>
      </pivotArea>
    </format>
    <format dxfId="69">
      <pivotArea dataOnly="0" labelOnly="1" outline="0" fieldPosition="0">
        <references count="2">
          <reference field="0" count="1">
            <x v="75"/>
          </reference>
          <reference field="2" count="1" selected="0">
            <x v="75"/>
          </reference>
        </references>
      </pivotArea>
    </format>
    <format dxfId="68">
      <pivotArea dataOnly="0" labelOnly="1" outline="0" fieldPosition="0">
        <references count="2">
          <reference field="0" count="1">
            <x v="76"/>
          </reference>
          <reference field="2" count="1" selected="0">
            <x v="76"/>
          </reference>
        </references>
      </pivotArea>
    </format>
    <format dxfId="67">
      <pivotArea dataOnly="0" labelOnly="1" outline="0" fieldPosition="0">
        <references count="2">
          <reference field="0" count="1">
            <x v="77"/>
          </reference>
          <reference field="2" count="1" selected="0">
            <x v="77"/>
          </reference>
        </references>
      </pivotArea>
    </format>
    <format dxfId="66">
      <pivotArea dataOnly="0" labelOnly="1" outline="0" fieldPosition="0">
        <references count="2">
          <reference field="0" count="1">
            <x v="78"/>
          </reference>
          <reference field="2" count="1" selected="0">
            <x v="78"/>
          </reference>
        </references>
      </pivotArea>
    </format>
    <format dxfId="65">
      <pivotArea dataOnly="0" labelOnly="1" outline="0" fieldPosition="0">
        <references count="2">
          <reference field="0" count="1">
            <x v="79"/>
          </reference>
          <reference field="2" count="1" selected="0">
            <x v="79"/>
          </reference>
        </references>
      </pivotArea>
    </format>
    <format dxfId="64">
      <pivotArea dataOnly="0" labelOnly="1" outline="0" fieldPosition="0">
        <references count="2">
          <reference field="0" count="1">
            <x v="80"/>
          </reference>
          <reference field="2" count="1" selected="0">
            <x v="80"/>
          </reference>
        </references>
      </pivotArea>
    </format>
    <format dxfId="63">
      <pivotArea dataOnly="0" labelOnly="1" outline="0" fieldPosition="0">
        <references count="2">
          <reference field="0" count="1">
            <x v="81"/>
          </reference>
          <reference field="2" count="1" selected="0">
            <x v="81"/>
          </reference>
        </references>
      </pivotArea>
    </format>
    <format dxfId="62">
      <pivotArea dataOnly="0" labelOnly="1" outline="0" fieldPosition="0">
        <references count="2">
          <reference field="0" count="1">
            <x v="82"/>
          </reference>
          <reference field="2" count="1" selected="0">
            <x v="82"/>
          </reference>
        </references>
      </pivotArea>
    </format>
    <format dxfId="61">
      <pivotArea dataOnly="0" labelOnly="1" outline="0" fieldPosition="0">
        <references count="2">
          <reference field="0" count="1">
            <x v="83"/>
          </reference>
          <reference field="2" count="1" selected="0">
            <x v="83"/>
          </reference>
        </references>
      </pivotArea>
    </format>
    <format dxfId="60">
      <pivotArea dataOnly="0" labelOnly="1" outline="0" fieldPosition="0">
        <references count="2">
          <reference field="0" count="1">
            <x v="84"/>
          </reference>
          <reference field="2" count="1" selected="0">
            <x v="84"/>
          </reference>
        </references>
      </pivotArea>
    </format>
    <format dxfId="59">
      <pivotArea dataOnly="0" labelOnly="1" outline="0" fieldPosition="0">
        <references count="2">
          <reference field="0" count="1">
            <x v="85"/>
          </reference>
          <reference field="2" count="1" selected="0">
            <x v="85"/>
          </reference>
        </references>
      </pivotArea>
    </format>
    <format dxfId="58">
      <pivotArea dataOnly="0" labelOnly="1" outline="0" fieldPosition="0">
        <references count="2">
          <reference field="0" count="1">
            <x v="86"/>
          </reference>
          <reference field="2" count="1" selected="0">
            <x v="86"/>
          </reference>
        </references>
      </pivotArea>
    </format>
    <format dxfId="57">
      <pivotArea dataOnly="0" labelOnly="1" outline="0" fieldPosition="0">
        <references count="2">
          <reference field="0" count="1">
            <x v="87"/>
          </reference>
          <reference field="2" count="1" selected="0">
            <x v="87"/>
          </reference>
        </references>
      </pivotArea>
    </format>
    <format dxfId="56">
      <pivotArea dataOnly="0" labelOnly="1" outline="0" axis="axisValues" fieldPosition="0"/>
    </format>
  </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Unidades"/>
    <pivotHierarchy dragToData="1"/>
    <pivotHierarchy dragToData="1"/>
  </pivotHierarchies>
  <pivotTableStyleInfo name="plastisol-1" showRowHeaders="1" showColHeaders="1" showRowStripes="0" showColStripes="0" showLastColumn="1"/>
  <rowHierarchiesUsage count="2">
    <rowHierarchyUsage hierarchyUsage="15"/>
    <rowHierarchyUsage hierarchyUsage="17"/>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inventario_actu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7436AFD-255B-4D77-8516-3C1D35EE3C56}" name="PivotTable3" cacheId="92" applyNumberFormats="0" applyBorderFormats="0" applyFontFormats="0" applyPatternFormats="0" applyAlignmentFormats="0" applyWidthHeightFormats="1" dataCaption="Values" tag="e6514a4b-7c18-4591-84b2-a3122385e010" updatedVersion="8" minRefreshableVersion="3" useAutoFormatting="1" subtotalHiddenItems="1" itemPrintTitles="1" createdVersion="8" indent="0" outline="1" outlineData="1" multipleFieldFilters="0" chartFormat="22">
  <location ref="O27:Q41" firstHeaderRow="0" firstDataRow="1" firstDataCol="1"/>
  <pivotFields count="5">
    <pivotField dataField="1" subtotalTop="0" showAll="0" defaultSubtotal="0"/>
    <pivotField dataField="1" subtotalTop="0" showAll="0" defaultSubtotal="0"/>
    <pivotField axis="axisRow" allDrilled="1" showAll="0" dataSourceSort="1" defaultAttributeDrillState="1">
      <items count="7">
        <item x="0"/>
        <item x="1"/>
        <item x="2"/>
        <item x="3"/>
        <item x="4"/>
        <item x="5"/>
        <item t="default"/>
      </items>
    </pivotField>
    <pivotField axis="axisRow" allDrilled="1" showAll="0" dataSourceSort="1" defaultAttributeDrillState="1">
      <items count="6">
        <item x="0"/>
        <item x="1"/>
        <item x="2"/>
        <item x="3"/>
        <item x="4"/>
        <item t="default"/>
      </items>
    </pivotField>
    <pivotField axis="axisRow" allDrilled="1" showAll="0" dataSourceSort="1" defaultAttributeDrillState="1">
      <items count="3">
        <item x="0"/>
        <item x="1"/>
        <item t="default"/>
      </items>
    </pivotField>
  </pivotFields>
  <rowFields count="3">
    <field x="4"/>
    <field x="3"/>
    <field x="2"/>
  </rowFields>
  <rowItems count="14">
    <i>
      <x/>
    </i>
    <i r="1">
      <x/>
    </i>
    <i r="2">
      <x/>
    </i>
    <i r="2">
      <x v="1"/>
    </i>
    <i r="1">
      <x v="1"/>
    </i>
    <i r="2">
      <x v="2"/>
    </i>
    <i>
      <x v="1"/>
    </i>
    <i r="1">
      <x v="2"/>
    </i>
    <i r="2">
      <x v="3"/>
    </i>
    <i r="1">
      <x v="3"/>
    </i>
    <i r="2">
      <x v="4"/>
    </i>
    <i r="1">
      <x v="4"/>
    </i>
    <i r="2">
      <x v="5"/>
    </i>
    <i t="grand">
      <x/>
    </i>
  </rowItems>
  <colFields count="1">
    <field x="-2"/>
  </colFields>
  <colItems count="2">
    <i>
      <x/>
    </i>
    <i i="1">
      <x v="1"/>
    </i>
  </colItems>
  <dataFields count="2">
    <dataField name="UNIDADES" fld="0" baseField="0" baseItem="0"/>
    <dataField name="INGRESOS" fld="1" baseField="0" baseItem="0" numFmtId="17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9" format="11" series="1">
      <pivotArea type="data" outline="0" fieldPosition="0">
        <references count="1">
          <reference field="4294967294" count="1" selected="0">
            <x v="0"/>
          </reference>
        </references>
      </pivotArea>
    </chartFormat>
    <chartFormat chart="9" format="12" series="1">
      <pivotArea type="data" outline="0" fieldPosition="0">
        <references count="1">
          <reference field="4294967294" count="1" selected="0">
            <x v="1"/>
          </reference>
        </references>
      </pivotArea>
    </chartFormat>
    <chartFormat chart="10" format="9" series="1">
      <pivotArea type="data" outline="0" fieldPosition="0">
        <references count="1">
          <reference field="4294967294" count="1" selected="0">
            <x v="0"/>
          </reference>
        </references>
      </pivotArea>
    </chartFormat>
    <chartFormat chart="10" format="10" series="1">
      <pivotArea type="data" outline="0" fieldPosition="0">
        <references count="1">
          <reference field="4294967294" count="1" selected="0">
            <x v="1"/>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INGRESOS"/>
  </pivotHierarchies>
  <pivotTableStyleInfo name="plastisol-1" showRowHeaders="1" showColHeaders="1" showRowStripes="0" showColStripes="0" showLastColumn="1"/>
  <rowHierarchiesUsage count="3">
    <rowHierarchyUsage hierarchyUsage="32"/>
    <rowHierarchyUsage hierarchyUsage="33"/>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idas_hist]"/>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971D67B-A256-40E2-A55D-5AA25FC95923}" name="PivotTable1" cacheId="91" applyNumberFormats="0" applyBorderFormats="0" applyFontFormats="0" applyPatternFormats="0" applyAlignmentFormats="0" applyWidthHeightFormats="1" dataCaption="Values" tag="be51b184-f343-47b9-b236-292bfa6c626a" updatedVersion="8" minRefreshableVersion="3" useAutoFormatting="1" subtotalHiddenItems="1" itemPrintTitles="1" createdVersion="8" indent="0" outline="1" outlineData="1" multipleFieldFilters="0" chartFormat="11">
  <location ref="D7:F20" firstHeaderRow="0" firstDataRow="1" firstDataCol="1"/>
  <pivotFields count="4">
    <pivotField axis="axisRow" allDrilled="1" showAll="0" dataSourceSort="1" defaultAttributeDrillState="1">
      <items count="8">
        <item x="0"/>
        <item x="1"/>
        <item x="2"/>
        <item x="3"/>
        <item x="4"/>
        <item x="5"/>
        <item x="6"/>
        <item t="default"/>
      </items>
    </pivotField>
    <pivotField dataField="1" subtotalTop="0" showAll="0" defaultSubtotal="0"/>
    <pivotField dataField="1" subtotalTop="0" showAll="0" defaultSubtotal="0"/>
    <pivotField axis="axisRow" allDrilled="1" showAll="0" dataSourceSort="1" defaultAttributeDrillState="1">
      <items count="6">
        <item x="0"/>
        <item x="1"/>
        <item x="2"/>
        <item x="3"/>
        <item x="4"/>
        <item t="default"/>
      </items>
    </pivotField>
  </pivotFields>
  <rowFields count="2">
    <field x="3"/>
    <field x="0"/>
  </rowFields>
  <rowItems count="13">
    <i>
      <x/>
    </i>
    <i r="1">
      <x/>
    </i>
    <i>
      <x v="1"/>
    </i>
    <i r="1">
      <x v="1"/>
    </i>
    <i>
      <x v="2"/>
    </i>
    <i r="1">
      <x v="2"/>
    </i>
    <i>
      <x v="3"/>
    </i>
    <i r="1">
      <x v="3"/>
    </i>
    <i r="1">
      <x v="4"/>
    </i>
    <i r="1">
      <x v="5"/>
    </i>
    <i>
      <x v="4"/>
    </i>
    <i r="1">
      <x v="6"/>
    </i>
    <i t="grand">
      <x/>
    </i>
  </rowItems>
  <colFields count="1">
    <field x="-2"/>
  </colFields>
  <colItems count="2">
    <i>
      <x/>
    </i>
    <i i="1">
      <x v="1"/>
    </i>
  </colItems>
  <dataFields count="2">
    <dataField name="UNIDADES" fld="1" baseField="0" baseItem="0"/>
    <dataField name="INGRESOS" fld="2" baseField="0" baseItem="2" numFmtId="170"/>
  </dataFields>
  <chartFormats count="1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3">
          <reference field="4294967294" count="1" selected="0">
            <x v="1"/>
          </reference>
          <reference field="0" count="1" selected="0">
            <x v="0"/>
          </reference>
          <reference field="3" count="1" selected="0">
            <x v="0"/>
          </reference>
        </references>
      </pivotArea>
    </chartFormat>
    <chartFormat chart="0" format="3">
      <pivotArea type="data" outline="0" fieldPosition="0">
        <references count="3">
          <reference field="4294967294" count="1" selected="0">
            <x v="1"/>
          </reference>
          <reference field="0" count="1" selected="0">
            <x v="1"/>
          </reference>
          <reference field="3" count="1" selected="0">
            <x v="1"/>
          </reference>
        </references>
      </pivotArea>
    </chartFormat>
    <chartFormat chart="0" format="4">
      <pivotArea type="data" outline="0" fieldPosition="0">
        <references count="3">
          <reference field="4294967294" count="1" selected="0">
            <x v="1"/>
          </reference>
          <reference field="0" count="1" selected="0">
            <x v="2"/>
          </reference>
          <reference field="3" count="1" selected="0">
            <x v="2"/>
          </reference>
        </references>
      </pivotArea>
    </chartFormat>
    <chartFormat chart="0" format="5">
      <pivotArea type="data" outline="0" fieldPosition="0">
        <references count="3">
          <reference field="4294967294" count="1" selected="0">
            <x v="1"/>
          </reference>
          <reference field="0" count="1" selected="0">
            <x v="3"/>
          </reference>
          <reference field="3" count="1" selected="0">
            <x v="3"/>
          </reference>
        </references>
      </pivotArea>
    </chartFormat>
    <chartFormat chart="0" format="6">
      <pivotArea type="data" outline="0" fieldPosition="0">
        <references count="3">
          <reference field="4294967294" count="1" selected="0">
            <x v="1"/>
          </reference>
          <reference field="0" count="1" selected="0">
            <x v="4"/>
          </reference>
          <reference field="3" count="1" selected="0">
            <x v="3"/>
          </reference>
        </references>
      </pivotArea>
    </chartFormat>
    <chartFormat chart="0" format="7">
      <pivotArea type="data" outline="0" fieldPosition="0">
        <references count="3">
          <reference field="4294967294" count="1" selected="0">
            <x v="1"/>
          </reference>
          <reference field="0" count="1" selected="0">
            <x v="5"/>
          </reference>
          <reference field="3" count="1" selected="0">
            <x v="3"/>
          </reference>
        </references>
      </pivotArea>
    </chartFormat>
    <chartFormat chart="0" format="8">
      <pivotArea type="data" outline="0" fieldPosition="0">
        <references count="3">
          <reference field="4294967294" count="1" selected="0">
            <x v="1"/>
          </reference>
          <reference field="0" count="1" selected="0">
            <x v="6"/>
          </reference>
          <reference field="3" count="1" selected="0">
            <x v="4"/>
          </reference>
        </references>
      </pivotArea>
    </chartFormat>
    <chartFormat chart="9" format="11" series="1">
      <pivotArea type="data" outline="0" fieldPosition="0">
        <references count="1">
          <reference field="4294967294" count="1" selected="0">
            <x v="0"/>
          </reference>
        </references>
      </pivotArea>
    </chartFormat>
    <chartFormat chart="9" format="12" series="1">
      <pivotArea type="data" outline="0" fieldPosition="0">
        <references count="1">
          <reference field="4294967294" count="1" selected="0">
            <x v="1"/>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INGRESOS"/>
  </pivotHierarchies>
  <pivotTableStyleInfo name="plastisol-1" showRowHeaders="1" showColHeaders="1" showRowStripes="0" showColStripes="0" showLastColumn="1"/>
  <rowHierarchiesUsage count="2">
    <rowHierarchyUsage hierarchyUsage="31"/>
    <rowHierarchyUsage hierarchyUsage="2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idas_hist]"/>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25F47929-0B25-4434-ACCF-3C500477793F}" autoFormatId="16" applyNumberFormats="0" applyBorderFormats="0" applyFontFormats="0" applyPatternFormats="0" applyAlignmentFormats="0" applyWidthHeightFormats="0">
  <queryTableRefresh nextId="44" unboundColumnsRight="1">
    <queryTableFields count="12">
      <queryTableField id="22" name="id_mov" tableColumnId="11"/>
      <queryTableField id="10" name="TIPO" tableColumnId="2"/>
      <queryTableField id="34" name="id_producto" tableColumnId="17"/>
      <queryTableField id="16" name="UNIDADES" tableColumnId="10"/>
      <queryTableField id="30" name="fecha" tableColumnId="15"/>
      <queryTableField id="31" name="hora" tableColumnId="16"/>
      <queryTableField id="20" name="Intervalo" tableColumnId="8"/>
      <queryTableField id="6" name="DESCRIPCION" tableColumnId="6"/>
      <queryTableField id="42" name="categoria" tableColumnId="18"/>
      <queryTableField id="3" name="COMENTARIO" tableColumnId="3"/>
      <queryTableField id="11" name="fecha registro" tableColumnId="7"/>
      <queryTableField id="29" dataBound="0"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5" xr16:uid="{FD6165BF-5F86-42E3-BA0E-A09D818FB17C}" autoFormatId="16" applyNumberFormats="0" applyBorderFormats="0" applyFontFormats="0" applyPatternFormats="0" applyAlignmentFormats="0" applyWidthHeightFormats="0">
  <queryTableRefresh nextId="8">
    <queryTableFields count="4">
      <queryTableField id="4" name="id_producto" tableColumnId="1"/>
      <queryTableField id="6" name="categoria" tableColumnId="4"/>
      <queryTableField id="2" name="DESCRIPCION" tableColumnId="2"/>
      <queryTableField id="3" name="UNIDADES"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d_producto" xr10:uid="{3F14BD74-48A8-4BE0-8373-255DAFFBDB91}" sourceName="[historico_movimientos].[id_producto]">
  <pivotTables>
    <pivotTable tabId="7" name="PivotTable3"/>
  </pivotTables>
  <data>
    <olap pivotCacheId="1895198520">
      <levels count="2">
        <level uniqueName="[historico_movimientos].[id_producto].[(All)]" sourceCaption="(All)" count="0"/>
        <level uniqueName="[historico_movimientos].[id_producto].[id_producto]" sourceCaption="id_producto" count="88">
          <ranges>
            <range startItem="0">
              <i n="[historico_movimientos].[id_producto].&amp;[00101]" c="00101"/>
              <i n="[historico_movimientos].[id_producto].&amp;[00102]" c="00102"/>
              <i n="[historico_movimientos].[id_producto].&amp;[00103]" c="00103"/>
              <i n="[historico_movimientos].[id_producto].&amp;[00104]" c="00104"/>
              <i n="[historico_movimientos].[id_producto].&amp;[00105]" c="00105"/>
              <i n="[historico_movimientos].[id_producto].&amp;[00106]" c="00106"/>
              <i n="[historico_movimientos].[id_producto].&amp;[00107]" c="00107"/>
              <i n="[historico_movimientos].[id_producto].&amp;[00108]" c="00108"/>
              <i n="[historico_movimientos].[id_producto].&amp;[00201]" c="00201"/>
              <i n="[historico_movimientos].[id_producto].&amp;[00202]" c="00202"/>
              <i n="[historico_movimientos].[id_producto].&amp;[00203]" c="00203"/>
              <i n="[historico_movimientos].[id_producto].&amp;[00204]" c="00204"/>
              <i n="[historico_movimientos].[id_producto].&amp;[00205]" c="00205"/>
              <i n="[historico_movimientos].[id_producto].&amp;[00206]" c="00206"/>
              <i n="[historico_movimientos].[id_producto].&amp;[00207]" c="00207"/>
              <i n="[historico_movimientos].[id_producto].&amp;[00208]" c="00208"/>
              <i n="[historico_movimientos].[id_producto].&amp;[00301]" c="00301"/>
              <i n="[historico_movimientos].[id_producto].&amp;[00302]" c="00302"/>
              <i n="[historico_movimientos].[id_producto].&amp;[00303]" c="00303"/>
              <i n="[historico_movimientos].[id_producto].&amp;[00304]" c="00304"/>
              <i n="[historico_movimientos].[id_producto].&amp;[00305]" c="00305"/>
              <i n="[historico_movimientos].[id_producto].&amp;[00306]" c="00306"/>
              <i n="[historico_movimientos].[id_producto].&amp;[00307]" c="00307"/>
              <i n="[historico_movimientos].[id_producto].&amp;[00401]" c="00401"/>
              <i n="[historico_movimientos].[id_producto].&amp;[00402]" c="00402"/>
              <i n="[historico_movimientos].[id_producto].&amp;[00403]" c="00403"/>
              <i n="[historico_movimientos].[id_producto].&amp;[00404]" c="00404"/>
              <i n="[historico_movimientos].[id_producto].&amp;[00405]" c="00405"/>
              <i n="[historico_movimientos].[id_producto].&amp;[00406]" c="00406"/>
              <i n="[historico_movimientos].[id_producto].&amp;[00407]" c="00407"/>
              <i n="[historico_movimientos].[id_producto].&amp;[00501]" c="00501"/>
              <i n="[historico_movimientos].[id_producto].&amp;[00502]" c="00502"/>
              <i n="[historico_movimientos].[id_producto].&amp;[00503]" c="00503"/>
              <i n="[historico_movimientos].[id_producto].&amp;[00504]" c="00504"/>
              <i n="[historico_movimientos].[id_producto].&amp;[00505]" c="00505"/>
              <i n="[historico_movimientos].[id_producto].&amp;[00506]" c="00506"/>
              <i n="[historico_movimientos].[id_producto].&amp;[00507]" c="00507"/>
              <i n="[historico_movimientos].[id_producto].&amp;[00601]" c="00601"/>
              <i n="[historico_movimientos].[id_producto].&amp;[00602]" c="00602"/>
              <i n="[historico_movimientos].[id_producto].&amp;[00603]" c="00603"/>
              <i n="[historico_movimientos].[id_producto].&amp;[00701]" c="00701"/>
              <i n="[historico_movimientos].[id_producto].&amp;[00702]" c="00702"/>
              <i n="[historico_movimientos].[id_producto].&amp;[00703]" c="00703"/>
              <i n="[historico_movimientos].[id_producto].&amp;[00704]" c="00704"/>
              <i n="[historico_movimientos].[id_producto].&amp;[00705]" c="00705"/>
              <i n="[historico_movimientos].[id_producto].&amp;[00801]" c="00801"/>
              <i n="[historico_movimientos].[id_producto].&amp;[00802]" c="00802"/>
              <i n="[historico_movimientos].[id_producto].&amp;[00803]" c="00803"/>
              <i n="[historico_movimientos].[id_producto].&amp;[00804]" c="00804"/>
              <i n="[historico_movimientos].[id_producto].&amp;[00901]" c="00901"/>
              <i n="[historico_movimientos].[id_producto].&amp;[01001]" c="01001"/>
              <i n="[historico_movimientos].[id_producto].&amp;[01002]" c="01002"/>
              <i n="[historico_movimientos].[id_producto].&amp;[01003]" c="01003"/>
              <i n="[historico_movimientos].[id_producto].&amp;[01004]" c="01004"/>
              <i n="[historico_movimientos].[id_producto].&amp;[01101]" c="01101"/>
              <i n="[historico_movimientos].[id_producto].&amp;[01102]" c="01102"/>
              <i n="[historico_movimientos].[id_producto].&amp;[01103]" c="01103"/>
              <i n="[historico_movimientos].[id_producto].&amp;[01104]" c="01104"/>
              <i n="[historico_movimientos].[id_producto].&amp;[01105]" c="01105"/>
              <i n="[historico_movimientos].[id_producto].&amp;[01201]" c="01201"/>
              <i n="[historico_movimientos].[id_producto].&amp;[01202]" c="01202"/>
              <i n="[historico_movimientos].[id_producto].&amp;[01203]" c="01203"/>
              <i n="[historico_movimientos].[id_producto].&amp;[01204]" c="01204"/>
              <i n="[historico_movimientos].[id_producto].&amp;[01205]" c="01205"/>
              <i n="[historico_movimientos].[id_producto].&amp;[01301]" c="01301"/>
              <i n="[historico_movimientos].[id_producto].&amp;[01302]" c="01302"/>
              <i n="[historico_movimientos].[id_producto].&amp;[01303]" c="01303"/>
              <i n="[historico_movimientos].[id_producto].&amp;[01304]" c="01304"/>
              <i n="[historico_movimientos].[id_producto].&amp;[01305]" c="01305"/>
              <i n="[historico_movimientos].[id_producto].&amp;[01306]" c="01306"/>
              <i n="[historico_movimientos].[id_producto].&amp;[01307]" c="01307"/>
              <i n="[historico_movimientos].[id_producto].&amp;[01308]" c="01308"/>
              <i n="[historico_movimientos].[id_producto].&amp;[01401]" c="01401"/>
              <i n="[historico_movimientos].[id_producto].&amp;[01402]" c="01402"/>
              <i n="[historico_movimientos].[id_producto].&amp;[01403]" c="01403"/>
              <i n="[historico_movimientos].[id_producto].&amp;[01404]" c="01404"/>
              <i n="[historico_movimientos].[id_producto].&amp;[01501]" c="01501"/>
              <i n="[historico_movimientos].[id_producto].&amp;[01502]" c="01502"/>
              <i n="[historico_movimientos].[id_producto].&amp;[01503]" c="01503"/>
              <i n="[historico_movimientos].[id_producto].&amp;[01504]" c="01504"/>
              <i n="[historico_movimientos].[id_producto].&amp;[01505]" c="01505"/>
              <i n="[historico_movimientos].[id_producto].&amp;[01506]" c="01506"/>
              <i n="[historico_movimientos].[id_producto].&amp;[01507]" c="01507"/>
              <i n="[historico_movimientos].[id_producto].&amp;[01508]" c="01508"/>
              <i n="[historico_movimientos].[id_producto].&amp;[01509]" c="01509"/>
              <i n="[historico_movimientos].[id_producto].&amp;[01510]" c="01510"/>
              <i n="[historico_movimientos].[id_producto].&amp;[01511]" c="01511"/>
              <i n="[historico_movimientos].[id_producto].&amp;[01512]" c="01512"/>
            </range>
          </ranges>
        </level>
      </levels>
      <selections count="1">
        <selection n="[historico_movimientos].[id_producto].&amp;[00107]"/>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cha" xr10:uid="{88231A7A-3F18-44E0-8F2C-4AAD61D58614}" sourceName="[historico_movimientos].[fecha]">
  <pivotTables>
    <pivotTable tabId="7" name="PivotTable3"/>
  </pivotTables>
  <data>
    <olap pivotCacheId="1895198520">
      <levels count="2">
        <level uniqueName="[historico_movimientos].[fecha].[(All)]" sourceCaption="(All)" count="0"/>
        <level uniqueName="[historico_movimientos].[fecha].[fecha]" sourceCaption="fecha" count="7">
          <ranges>
            <range startItem="0">
              <i n="[historico_movimientos].[fecha].&amp;[2023-10-19T00:00:00]" c="10/19/2023"/>
              <i n="[historico_movimientos].[fecha].&amp;[2024-02-07T00:00:00]" c="2/7/2024"/>
              <i n="[historico_movimientos].[fecha].&amp;[2023-10-20T00:00:00]" c="10/20/2023" nd="1"/>
              <i n="[historico_movimientos].[fecha].&amp;[2023-10-25T00:00:00]" c="10/25/2023" nd="1"/>
              <i n="[historico_movimientos].[fecha].&amp;[2023-11-25T00:00:00]" c="11/25/2023" nd="1"/>
              <i n="[historico_movimientos].[fecha].&amp;[2024-01-11T00:00:00]" c="1/11/2024" nd="1"/>
              <i n="[historico_movimientos].[fecha].&amp;[2024-03-06T00:00:00]" c="3/6/2024" nd="1"/>
            </range>
          </ranges>
        </level>
      </levels>
      <selections count="1">
        <selection n="[historico_movimientos].[fecha].[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a" xr10:uid="{DA4A39FA-7B13-45CA-B4CB-1D04ECA73C10}" sourceName="[inventario_actual].[categoria]">
  <pivotTables>
    <pivotTable tabId="7" name="PivotTable2"/>
  </pivotTables>
  <data>
    <olap pivotCacheId="377384633">
      <levels count="2">
        <level uniqueName="[inventario_actual].[categoria].[(All)]" sourceCaption="(All)" count="0"/>
        <level uniqueName="[inventario_actual].[categoria].[categoria]" sourceCaption="categoria" count="8">
          <ranges>
            <range startItem="0">
              <i n="[inventario_actual].[categoria].&amp;[Bolsa Polipropileno]" c="Bolsa Polipropileno"/>
              <i n="[inventario_actual].[categoria].&amp;[Bolsillo Aluminio]" c="Bolsillo Aluminio"/>
              <i n="[inventario_actual].[categoria].&amp;[Mezclador]" c="Mezclador"/>
              <i n="[inventario_actual].[categoria].&amp;[Palillo Bamboo]" c="Palillo Bamboo"/>
              <i n="[inventario_actual].[categoria].&amp;[Papel Aluminio]" c="Papel Aluminio"/>
              <i n="[inventario_actual].[categoria].&amp;[Parafinado]" c="Parafinado"/>
              <i n="[inventario_actual].[categoria].&amp;[PORTA]" c="PORTA"/>
              <i n="[inventario_actual].[categoria].&amp;[VINIPEL]" c="VINIPEL"/>
            </range>
          </ranges>
        </level>
      </levels>
      <selections count="1">
        <selection n="[inventario_actual].[categoria].[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CHA1" xr10:uid="{BEF19C32-5999-4E0F-99BC-7EB4E84F11EE}" sourceName="[salidas_hist].[FECHA]">
  <pivotTables>
    <pivotTable tabId="12" name="PivotTable1"/>
    <pivotTable tabId="12" name="PivotTable3"/>
  </pivotTables>
  <data>
    <olap pivotCacheId="1750676932">
      <levels count="2">
        <level uniqueName="[salidas_hist].[FECHA].[(All)]" sourceCaption="(All)" count="0"/>
        <level uniqueName="[salidas_hist].[FECHA].[FECHA]" sourceCaption="FECHA" count="6">
          <ranges>
            <range startItem="0">
              <i n="[salidas_hist].[FECHA].&amp;[2023-10-20T00:00:00]" c="10/20/2023"/>
              <i n="[salidas_hist].[FECHA].&amp;[2023-10-25T00:00:00]" c="10/25/2023"/>
              <i n="[salidas_hist].[FECHA].&amp;[2023-11-25T00:00:00]" c="11/25/2023"/>
              <i n="[salidas_hist].[FECHA].&amp;[2024-01-11T00:00:00]" c="1/11/2024"/>
              <i n="[salidas_hist].[FECHA].&amp;[2024-02-07T00:00:00]" c="2/7/2024"/>
              <i n="[salidas_hist].[FECHA].&amp;[2024-03-06T00:00:00]" c="3/6/2024"/>
            </range>
          </ranges>
        </level>
      </levels>
      <selections count="1">
        <selection n="[salidas_hist].[FECHA].[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A1" xr10:uid="{49E1C794-69F6-45AA-A076-3231808A018B}" sourceName="[salidas_hist].[CATEGORIA]">
  <pivotTables>
    <pivotTable tabId="12" name="PivotTable1"/>
    <pivotTable tabId="12" name="PivotTable3"/>
  </pivotTables>
  <data>
    <olap pivotCacheId="1750676932">
      <levels count="2">
        <level uniqueName="[salidas_hist].[CATEGORIA].[(All)]" sourceCaption="(All)" count="0"/>
        <level uniqueName="[salidas_hist].[CATEGORIA].[CATEGORIA]" sourceCaption="CATEGORIA" count="5">
          <ranges>
            <range startItem="0">
              <i n="[salidas_hist].[CATEGORIA].&amp;[Bolsa Polipropileno]" c="Bolsa Polipropileno"/>
              <i n="[salidas_hist].[CATEGORIA].&amp;[Palillo Bamboo]" c="Palillo Bamboo"/>
              <i n="[salidas_hist].[CATEGORIA].&amp;[Papel Aluminio]" c="Papel Aluminio"/>
              <i n="[salidas_hist].[CATEGORIA].&amp;[Parafinado]" c="Parafinado"/>
              <i n="[salidas_hist].[CATEGORIA].&amp;[VINIPEL]" c="VINIPEL"/>
            </range>
          </ranges>
        </level>
      </levels>
      <selections count="1">
        <selection n="[salidas_hist].[CATEGORIA].[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d_producto" xr10:uid="{8377DEC4-AE53-4FAB-BEEE-2D6FDEB0B1DD}" cache="Slicer_id_producto" caption="id_producto" level="1" rowHeight="241300"/>
  <slicer name="fecha" xr10:uid="{C4DD6F3F-93D2-4888-9859-29C26CA8441C}" cache="Slicer_fecha" caption="fecha" level="1" rowHeight="241300"/>
  <slicer name="categoria" xr10:uid="{5B023FF5-B903-431D-A4C2-50101E8638E8}" cache="Slicer_categoria" caption="categoria"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ECHA 1" xr10:uid="{2FEF4AFF-58EA-4592-8D60-877A39AF4B95}" cache="Slicer_FECHA1" caption="FECHA" level="1" rowHeight="209550"/>
  <slicer name="CATEGORIA 1" xr10:uid="{3702B87F-D53A-4937-BD43-67F35847A223}" cache="Slicer_CATEGORIA1" caption="CATEGORIA" level="1" rowHeight="209550"/>
</slicer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18E06B-D53C-4C34-A497-533D71BE821B}" name="factura_tb" displayName="factura_tb" ref="B17:H40" totalsRowCount="1" headerRowDxfId="171" dataDxfId="170" totalsRowDxfId="169">
  <autoFilter ref="B17:H39" xr:uid="{C118E06B-D53C-4C34-A497-533D71BE821B}">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905D1253-62BD-4ECB-8460-5E8DEF4B598C}" name="ID" dataDxfId="168" totalsRowDxfId="167"/>
    <tableColumn id="2" xr3:uid="{AAA27801-47C4-4874-A097-936487C1FE11}" name="DESCRIPCION" dataDxfId="166" totalsRowDxfId="165">
      <calculatedColumnFormula>IFERROR(_xlfn.XLOOKUP(factura_tb[[#This Row],[ID]],total_leyenda[ID],total_leyenda[DESCRIPCION]),"")</calculatedColumnFormula>
    </tableColumn>
    <tableColumn id="3" xr3:uid="{4C7E250B-0B4A-4560-AA4F-E2BC53117D1C}" name="CANTIDAD" dataDxfId="164" totalsRowDxfId="163"/>
    <tableColumn id="6" xr3:uid="{C4FB869C-E694-417E-8EFC-8EC10778BD79}" name="VALOR UNITARIO" dataDxfId="162" totalsRowDxfId="161" dataCellStyle="Currency">
      <calculatedColumnFormula>IFERROR(_xlfn.XLOOKUP(factura_tb[[#This Row],[ID]],total_leyenda[ID],total_leyenda[precio unitario]),"")</calculatedColumnFormula>
    </tableColumn>
    <tableColumn id="7" xr3:uid="{FE1F5FC7-EB67-4E7C-8800-75B8E4AB0AB8}" name="IVA %" dataDxfId="160" totalsRowDxfId="159" dataCellStyle="Currency"/>
    <tableColumn id="4" xr3:uid="{A9B43DC8-6375-450F-9539-AF92F6895350}" name="DESCUENTO % " dataDxfId="158" totalsRowDxfId="157">
      <calculatedColumnFormula>IFERROR(_xlfn.XLOOKUP(factura_tb[[#This Row],[ID]],total_leyenda[ID],total_leyenda[Descuento]),"")</calculatedColumnFormula>
    </tableColumn>
    <tableColumn id="5" xr3:uid="{421DF32D-BBDD-4319-B192-A70F6E625D37}" name="TOTAL" dataDxfId="156" totalsRowDxfId="155" dataCellStyle="Currency">
      <calculatedColumnFormula>IFERROR(ROUNDUP(factura_tb[[#This Row],[CANTIDAD]]*factura_tb[[#This Row],[VALOR UNITARIO]],2),"")</calculatedColumnFormula>
    </tableColumn>
  </tableColumns>
  <tableStyleInfo name="Plastisol-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74D5E00-0BF9-4AAB-BF52-9302C004F245}" name="clientes_tb" displayName="clientes_tb" ref="A1:G3" totalsRowShown="0">
  <autoFilter ref="A1:G3" xr:uid="{274D5E00-0BF9-4AAB-BF52-9302C004F245}"/>
  <tableColumns count="7">
    <tableColumn id="1" xr3:uid="{96D9426F-89D3-49AA-BEA0-9244E9D0FC4D}" name="NOMBRE"/>
    <tableColumn id="2" xr3:uid="{6D49D68A-8DC0-4306-81E3-F572091F86B0}" name="NOMBRE EMPRESA"/>
    <tableColumn id="6" xr3:uid="{4EF30B0F-4DC8-4C2F-B1F8-2BB14DAF3591}" name="NIT/C.C"/>
    <tableColumn id="3" xr3:uid="{29E89BF8-1EE7-491A-AFF0-AD1C746038F1}" name="DIRECCION"/>
    <tableColumn id="4" xr3:uid="{196CAE50-5ADA-4EE1-AD05-2DEC38158EED}" name="CIUDAD"/>
    <tableColumn id="5" xr3:uid="{76EBCA85-096F-4479-957F-3057913E2D77}" name="TELEFONO"/>
    <tableColumn id="7" xr3:uid="{4B3396A7-8044-469A-B7D8-23F820F592AF}" name="EMAIL"/>
  </tableColumns>
  <tableStyleInfo name="Plastisol-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D2FCAF7-82DC-4ED2-83BC-E8AD3F82A185}" name="entradas_inv" displayName="entradas_inv" ref="A1:F19" totalsRowShown="0">
  <autoFilter ref="A1:F19" xr:uid="{5D2FCAF7-82DC-4ED2-83BC-E8AD3F82A185}"/>
  <tableColumns count="6">
    <tableColumn id="1" xr3:uid="{1FE44DAB-8F41-4D00-BCB7-81BE74131ACE}" name="ID" dataDxfId="55"/>
    <tableColumn id="2" xr3:uid="{36BB7A48-8608-4DE4-9575-9B04C30EF766}" name="ENTRADA UNIDADES"/>
    <tableColumn id="3" xr3:uid="{E70C7393-111D-47A9-AF6B-5ECC401608A7}" name="COMENTARIO"/>
    <tableColumn id="7" xr3:uid="{797A9C3A-A00A-499D-AC97-F7B30636C162}" name="fecha manual (dia/mes/anio)" dataDxfId="54"/>
    <tableColumn id="4" xr3:uid="{1FC880C8-370C-454D-A0D1-F927AD2FE156}" name="hora manual (hh/mm AM/PM)" dataDxfId="53"/>
    <tableColumn id="6" xr3:uid="{6FCB4D01-85DA-481C-AE46-9ED6C3B635DD}" name="DESCRIPCION">
      <calculatedColumnFormula>_xlfn.XLOOKUP(entradas_inv[[#This Row],[ID]],'DESCRIPCION PRODUCTOS'!G:G,'DESCRIPCION PRODUCTOS'!H:H)</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57597E2-C952-4754-8138-C793B9B40583}" name="entradas_hist" displayName="entradas_hist" ref="A1:I89" totalsRowShown="0" headerRowDxfId="52" dataDxfId="50" headerRowBorderDxfId="51" tableBorderDxfId="49" totalsRowBorderDxfId="48">
  <autoFilter ref="A1:I89" xr:uid="{F57597E2-C952-4754-8138-C793B9B40583}"/>
  <tableColumns count="9">
    <tableColumn id="1" xr3:uid="{ECB07C3F-9550-4E67-AA2E-CC6ED1B27533}" name="ID" dataDxfId="47"/>
    <tableColumn id="2" xr3:uid="{1C96C333-5A36-4501-986C-193625FB95CE}" name="UNIDADES" dataDxfId="46"/>
    <tableColumn id="3" xr3:uid="{CA110C24-885C-4938-B33F-4F3FA8760F58}" name="COMENTARIO" dataDxfId="45"/>
    <tableColumn id="4" xr3:uid="{0F82B8EB-1BF2-4744-A79F-F1985B99B5BB}" name="fecha manual (dia/mes/anio)" dataDxfId="44"/>
    <tableColumn id="5" xr3:uid="{9F17267E-8C81-4DEE-806F-65BD1FF3BBB1}" name="hora manual (hh/mm AM/PM)" dataDxfId="43"/>
    <tableColumn id="6" xr3:uid="{CD7273DE-D424-4A9A-BB5E-61EA90EBBFB4}" name="DESCRIPCION" dataDxfId="42"/>
    <tableColumn id="11" xr3:uid="{06AB7ED4-E9EF-4B67-B83C-8F2DD9EE10DD}" name="CATEGORIA" dataDxfId="41">
      <calculatedColumnFormula>_xlfn.XLOOKUP(entradas_hist[[#This Row],[ID]],total_leyenda[ID],total_leyenda[categoria])</calculatedColumnFormula>
    </tableColumn>
    <tableColumn id="8" xr3:uid="{A795431A-2A2C-4E61-8B30-48FA3B885B39}" name="TIPO" dataDxfId="40"/>
    <tableColumn id="7" xr3:uid="{58D5B9AD-2D39-49D6-AAC6-CC9FE269BCA4}" name="fecha registro" dataDxfId="3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9F203C-5566-4775-8454-EAEFA2F2B54F}" name="salidas_hist" displayName="salidas_hist" ref="A1:O22" totalsRowShown="0">
  <autoFilter ref="A1:O22" xr:uid="{979F203C-5566-4775-8454-EAEFA2F2B54F}"/>
  <tableColumns count="15">
    <tableColumn id="1" xr3:uid="{FDC253CB-1FD0-4E94-95D3-8DCACD435FE4}" name="FACTURA_ID" dataDxfId="38"/>
    <tableColumn id="11" xr3:uid="{5E91CE06-9DAD-4E6B-BBAF-91166672E134}" name="FECHA" dataDxfId="37"/>
    <tableColumn id="12" xr3:uid="{D026A8A1-69D4-42EC-9D42-409851C3B7E5}" name="HORA" dataDxfId="36"/>
    <tableColumn id="6" xr3:uid="{51289394-7925-4BA9-9F3C-A013A62721E5}" name="ID Cliente" dataDxfId="35"/>
    <tableColumn id="15" xr3:uid="{8D84D887-2841-40BB-A4A8-243495A463D9}" name="Nombre Cliente" dataDxfId="34"/>
    <tableColumn id="13" xr3:uid="{2B1B31A1-B76A-4E98-B5C7-BDBE65292330}" name="PRODUCTO_ID" dataDxfId="33"/>
    <tableColumn id="14" xr3:uid="{C9E1064C-FD53-49C8-89C0-08C3BA5B5411}" name="DESCRIPCION" dataDxfId="32"/>
    <tableColumn id="2" xr3:uid="{601C0B7A-1106-493F-B7FF-2C68A5AB4E5C}" name="UNIDADES"/>
    <tableColumn id="5" xr3:uid="{6700B0D2-34E8-4E15-9383-5D9517E8D99B}" name="Valor unitario"/>
    <tableColumn id="3" xr3:uid="{4342C443-27D3-4A0A-B76F-451A45D743B8}" name="IVA"/>
    <tableColumn id="10" xr3:uid="{1E8AC00C-AC6D-4041-B66E-F1B580003BB0}" name="Descuento"/>
    <tableColumn id="16" xr3:uid="{E49430F6-E343-45EC-9A73-89B78DFDCBD6}" name="INGRESO"/>
    <tableColumn id="7" xr3:uid="{8A629840-74EC-43B3-93DF-CE86A22AB7E5}" name="TIPO"/>
    <tableColumn id="8" xr3:uid="{B15DE539-D8F6-4814-9AD7-0C83F0ECA1B0}" name="fecha registro" dataDxfId="31"/>
    <tableColumn id="9" xr3:uid="{D6E92859-BEFD-4C48-8425-CA80331BD9DA}" name="CATEGORIA" dataDxfId="30">
      <calculatedColumnFormula>_xlfn.XLOOKUP(salidas_hist[[#This Row],[PRODUCTO_ID]],total_leyenda[ID],total_leyenda[categoria])</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77C955B-8117-40D4-9250-4C55C2BC192B}" name="historico_movimientos" displayName="historico_movimientos" ref="A1:L104" tableType="queryTable" totalsRowShown="0">
  <autoFilter ref="A1:L104" xr:uid="{C77C955B-8117-40D4-9250-4C55C2BC192B}"/>
  <tableColumns count="12">
    <tableColumn id="11" xr3:uid="{2F1DCA05-B402-4377-82FF-FACF82144E69}" uniqueName="11" name="id_mov" queryTableFieldId="22"/>
    <tableColumn id="2" xr3:uid="{FF8BC23B-63DC-412C-A3DB-AAA9A22DF101}" uniqueName="2" name="tipo" queryTableFieldId="10" dataDxfId="29"/>
    <tableColumn id="17" xr3:uid="{86A34BB6-FB65-4044-9574-F11984F5078E}" uniqueName="17" name="id_producto" queryTableFieldId="34"/>
    <tableColumn id="10" xr3:uid="{26867A1C-9892-4ADE-8016-2EB34ADE6BD7}" uniqueName="10" name="unidades" queryTableFieldId="16"/>
    <tableColumn id="15" xr3:uid="{CFEFCDF2-F60F-418E-82A7-A4B9B0EAFC2E}" uniqueName="15" name="fecha" queryTableFieldId="30" dataDxfId="28"/>
    <tableColumn id="16" xr3:uid="{E1095967-5E89-478C-9B47-97448568CFCD}" uniqueName="16" name="hora" queryTableFieldId="31" dataDxfId="27"/>
    <tableColumn id="8" xr3:uid="{9781B3D8-DC54-4FBC-B9BB-585FDC45EA83}" uniqueName="8" name="Intervalo" queryTableFieldId="20" dataDxfId="26"/>
    <tableColumn id="6" xr3:uid="{F09C5370-4D22-46EF-8660-3ABCF92BB2AF}" uniqueName="6" name="descripcion" queryTableFieldId="6" dataDxfId="25"/>
    <tableColumn id="18" xr3:uid="{6F6D191E-4B77-4461-9F16-E38EAE92BB7E}" uniqueName="18" name="categoria" queryTableFieldId="42"/>
    <tableColumn id="3" xr3:uid="{1DD41784-C550-4678-A2C7-2402624914E9}" uniqueName="3" name="comentario" queryTableFieldId="3" dataDxfId="24"/>
    <tableColumn id="7" xr3:uid="{D734CA0C-6E1B-446C-AF2D-D8B668EDDC2A}" uniqueName="7" name="fecha registro" queryTableFieldId="11" dataDxfId="23"/>
    <tableColumn id="14" xr3:uid="{59BDEEE5-7C9D-4B7F-945D-05D8901DB39E}" uniqueName="14" name="total_inv" queryTableFieldId="29" dataDxfId="22">
      <calculatedColumnFormula>SUMIF(C$2:C2, historico_movimientos[[#This Row],[id_producto]],D$2:D2)</calculatedColumnFormula>
    </tableColumn>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EBB33D8-DC96-4EDA-9963-9C2E81447CF6}" name="inventario_actual" displayName="inventario_actual" ref="A1:D90" tableType="queryTable" totalsRowShown="0">
  <autoFilter ref="A1:D90" xr:uid="{3EBB33D8-DC96-4EDA-9963-9C2E81447CF6}"/>
  <tableColumns count="4">
    <tableColumn id="1" xr3:uid="{36FF0B75-C765-45C6-BCE9-C424C7EA27F2}" uniqueName="1" name="id_producto" queryTableFieldId="4" dataDxfId="21"/>
    <tableColumn id="4" xr3:uid="{D93925F4-8E51-4C06-9A78-466CE96DD5FC}" uniqueName="4" name="categoria" queryTableFieldId="6"/>
    <tableColumn id="2" xr3:uid="{D39D12B1-86F5-4409-AC31-25E406C66C2B}" uniqueName="2" name="descripcion" queryTableFieldId="2" dataDxfId="20"/>
    <tableColumn id="3" xr3:uid="{4654C616-BF29-4FBE-ABBC-AD781C0CA911}" uniqueName="3" name="unidades"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5D43B7B-DEAF-4E3D-86B1-6A4D10E15B17}" name="parafinado" displayName="parafinado" ref="M2:N48" totalsRowShown="0">
  <autoFilter ref="M2:N48" xr:uid="{E5D43B7B-DEAF-4E3D-86B1-6A4D10E15B17}"/>
  <tableColumns count="2">
    <tableColumn id="1" xr3:uid="{AEA50C9C-6A6B-42D8-B9A2-CDB96CA7D6B4}" name="ID" dataDxfId="19"/>
    <tableColumn id="2" xr3:uid="{9D85792B-A183-4BD5-8900-B027F2CAD7AC}" name="DESCRIPCIO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7705AA5-1B2A-4CCF-A3CC-5DDB0E93D4DE}" name="papel_aluminio" displayName="papel_aluminio" ref="P2:Q6" totalsRowShown="0">
  <autoFilter ref="P2:Q6" xr:uid="{17705AA5-1B2A-4CCF-A3CC-5DDB0E93D4DE}"/>
  <tableColumns count="2">
    <tableColumn id="1" xr3:uid="{408997F8-0AAA-4895-B098-389379DA55BF}" name="ID" dataDxfId="18"/>
    <tableColumn id="2" xr3:uid="{828A6535-9C97-4D1A-8E16-47CA8780DB23}" name="DESCRIPCIO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DCA57BB-DD5D-40F6-812A-B6C5458BB416}" name="mezclador" displayName="mezclador" ref="S2:T3" totalsRowShown="0">
  <autoFilter ref="S2:T3" xr:uid="{EDCA57BB-DD5D-40F6-812A-B6C5458BB416}"/>
  <tableColumns count="2">
    <tableColumn id="1" xr3:uid="{7650819D-36EF-42AE-9C12-1449F6594987}" name="ID" dataDxfId="17"/>
    <tableColumn id="2" xr3:uid="{2DB92A50-628F-4B2C-8775-98F74492D1F7}" name="DESCRIPCIO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1BD9554-67B9-419F-99EF-71DA579AA797}" name="palillo_bamboo" displayName="palillo_bamboo" ref="V2:W6" totalsRowShown="0">
  <autoFilter ref="V2:W6" xr:uid="{01BD9554-67B9-419F-99EF-71DA579AA797}"/>
  <tableColumns count="2">
    <tableColumn id="1" xr3:uid="{43C65C14-177D-4320-84C2-A4DA81C94572}" name="ID" dataDxfId="16"/>
    <tableColumn id="2" xr3:uid="{DBE785E0-7FAA-4868-9093-2D7D974747A8}" name="DESCRIPCIO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69455A-D271-4685-AF11-76B1A1DBD47D}" name="vinipel" displayName="vinipel" ref="Y2:Z15" totalsRowShown="0">
  <autoFilter ref="Y2:Z15" xr:uid="{3469455A-D271-4685-AF11-76B1A1DBD47D}"/>
  <tableColumns count="2">
    <tableColumn id="1" xr3:uid="{DA369738-82A3-4DFC-83A0-852CAEC4C265}" name="ID" dataDxfId="15"/>
    <tableColumn id="2" xr3:uid="{D2B3D9AB-0C5D-426F-A0BB-DD9B59BC92F1}" name="DESCRIPCIO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FC6F6-0963-4ED8-A938-242A5AA18542}" name="bolsillo_aluminio" displayName="bolsillo_aluminio" ref="AB2:AC7" totalsRowShown="0">
  <autoFilter ref="AB2:AC7" xr:uid="{545FC6F6-0963-4ED8-A938-242A5AA18542}"/>
  <tableColumns count="2">
    <tableColumn id="1" xr3:uid="{2D87FFA8-9CC9-4430-8D0F-F1852EC1BF02}" name="ID" dataDxfId="14"/>
    <tableColumn id="2" xr3:uid="{BDBE0265-073C-4945-AC26-8D879660FA72}" name="DESCRIPCIO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1F810F8-DFE6-4AA7-9E1F-2E1FE6E82279}" name="porta" displayName="porta" ref="AE2:AF6" totalsRowShown="0">
  <autoFilter ref="AE2:AF6" xr:uid="{61F810F8-DFE6-4AA7-9E1F-2E1FE6E82279}"/>
  <tableColumns count="2">
    <tableColumn id="1" xr3:uid="{41F40537-A228-411E-83DA-3864EEC36D87}" name="ID" dataDxfId="13"/>
    <tableColumn id="2" xr3:uid="{BBB13EA5-166D-434A-8E40-A5B7EC3CCF4C}" name="DESCRIPCIO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589E147-9928-4F02-AD0F-A6338BE4AA7C}" name="bolsa_polipropileno" displayName="bolsa_polipropileno" ref="AH2:AI14" totalsRowShown="0">
  <autoFilter ref="AH2:AI14" xr:uid="{9589E147-9928-4F02-AD0F-A6338BE4AA7C}"/>
  <tableColumns count="2">
    <tableColumn id="1" xr3:uid="{9FDC9896-F742-40BC-A072-9E60A6A3F77C}" name="ID" dataDxfId="12"/>
    <tableColumn id="2" xr3:uid="{A967D303-AE05-401E-BDB8-0561434D3FD3}" name="DESCRIPCIO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5602714-2740-4DED-971E-4110D5B40559}" name="Prefijos" displayName="Prefijos" ref="B2:C17" totalsRowShown="0">
  <autoFilter ref="B2:C17" xr:uid="{15602714-2740-4DED-971E-4110D5B40559}"/>
  <tableColumns count="2">
    <tableColumn id="1" xr3:uid="{07594CD4-5B71-4156-9EE7-67EE4CB9D70D}" name="LEGENDA"/>
    <tableColumn id="2" xr3:uid="{7517779B-4073-4FE6-A9BB-4C74917BEE79}" name="PREFIJO" dataDxfId="11"/>
  </tableColumns>
  <tableStyleInfo name="Plastisol-table"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47CFDF9-3AD7-4869-99BE-65793DC5ADC2}" name="total_leyenda" displayName="total_leyenda" ref="G2:K91" totalsRowShown="0" headerRowDxfId="10">
  <autoFilter ref="G2:K91" xr:uid="{347CFDF9-3AD7-4869-99BE-65793DC5ADC2}"/>
  <sortState xmlns:xlrd2="http://schemas.microsoft.com/office/spreadsheetml/2017/richdata2" ref="G3:I91">
    <sortCondition ref="G2:G91"/>
  </sortState>
  <tableColumns count="5">
    <tableColumn id="1" xr3:uid="{0735319F-4729-4F28-8757-E9336107BAF5}" name="ID" dataDxfId="9"/>
    <tableColumn id="2" xr3:uid="{90A08047-F80C-4F7A-9944-01CDEF1A7566}" name="DESCRIPCION" dataDxfId="8"/>
    <tableColumn id="3" xr3:uid="{34A94A3A-7AF2-46A4-B2BA-23BBA8C3C1B0}" name="categoria" dataDxfId="7"/>
    <tableColumn id="4" xr3:uid="{A928467F-7932-4385-B551-DB1A6D42CE9D}" name="precio unitario" dataDxfId="6"/>
    <tableColumn id="5" xr3:uid="{0DEE3371-87D5-4C56-AEFD-AC72025372B5}" name="Descuento" dataDxfId="5"/>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51604C1-5D34-4668-8482-5A795ABDD2B3}" name="INTERVALO" displayName="INTERVALO" ref="E4:E17" totalsRowShown="0" headerRowDxfId="4">
  <autoFilter ref="E4:E17" xr:uid="{351604C1-5D34-4668-8482-5A795ABDD2B3}"/>
  <tableColumns count="1">
    <tableColumn id="1" xr3:uid="{F3D7D971-BA11-4502-9FE9-28EFDA2353B0}" name="INTERVALOS" dataDxfId="3"/>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B732837-A501-4EBB-A32C-1B38547E358F}" name="categoria" displayName="categoria" ref="E19:E27" totalsRowShown="0" headerRowDxfId="2">
  <autoFilter ref="E19:E27" xr:uid="{8B732837-A501-4EBB-A32C-1B38547E358F}"/>
  <tableColumns count="1">
    <tableColumn id="1" xr3:uid="{9F30AE09-CCD3-4225-B611-2BF9C337CF02}" name="categoria" dataDxfId="1"/>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24F3587-510A-41B2-B2D1-FE0733A3643F}" name="medios_pago_tb" displayName="medios_pago_tb" ref="B20:B22" totalsRowShown="0" headerRowDxfId="0">
  <autoFilter ref="B20:B22" xr:uid="{C24F3587-510A-41B2-B2D1-FE0733A3643F}"/>
  <tableColumns count="1">
    <tableColumn id="1" xr3:uid="{A4B6B2D6-8089-479B-ACFE-1F7DE2664083}" name="MEDIOS DE PAGO"/>
  </tableColumns>
  <tableStyleInfo name="Plastisol-table"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DE82DB62-2098-4392-8062-7E72877E0AAD}" name="formas_pago_tb" displayName="formas_pago_tb" ref="B25:B28" totalsRowShown="0">
  <autoFilter ref="B25:B28" xr:uid="{DE82DB62-2098-4392-8062-7E72877E0AAD}"/>
  <tableColumns count="1">
    <tableColumn id="1" xr3:uid="{E03BD7E0-E290-41CF-ACE9-B1BE3CD60C11}" name="FORMAS DE PAGO"/>
  </tableColumns>
  <tableStyleInfo name="Plastisol-table"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1" dT="2024-01-24T19:55:20.12" personId="{D947ED83-2D3F-414D-AC72-88D1051A1A35}" id="{9FBD3E37-9F47-4822-8E01-827569BB7FDE}">
    <text>Dejar en blanco para tomar la fecha actual</text>
  </threadedComment>
  <threadedComment ref="E1" dT="2024-01-24T19:55:36.44" personId="{D947ED83-2D3F-414D-AC72-88D1051A1A35}" id="{9A451115-8541-428B-8BAE-EB18D2B47937}">
    <text>Dejar en blanco para tomar la fecha actual</text>
  </threadedComment>
</ThreadedComments>
</file>

<file path=xl/threadedComments/threadedComment2.xml><?xml version="1.0" encoding="utf-8"?>
<ThreadedComments xmlns="http://schemas.microsoft.com/office/spreadsheetml/2018/threadedcomments" xmlns:x="http://schemas.openxmlformats.org/spreadsheetml/2006/main">
  <threadedComment ref="D1" dT="2024-01-24T19:55:20.12" personId="{D947ED83-2D3F-414D-AC72-88D1051A1A35}" id="{F36CE31C-CD18-49C7-A2CC-8F350B98A040}">
    <text>Dejar en blanco para tomar la fecha actual</text>
  </threadedComment>
  <threadedComment ref="E1" dT="2024-01-24T19:55:36.44" personId="{D947ED83-2D3F-414D-AC72-88D1051A1A35}" id="{477A1B99-F198-403A-B13E-1B80B502B64D}">
    <text>Dejar en blanco para tomar la fecha actual</text>
  </threadedComment>
</ThreadedComments>
</file>

<file path=xl/threadedComments/threadedComment3.xml><?xml version="1.0" encoding="utf-8"?>
<ThreadedComments xmlns="http://schemas.microsoft.com/office/spreadsheetml/2018/threadedcomments" xmlns:x="http://schemas.openxmlformats.org/spreadsheetml/2006/main">
  <threadedComment ref="C1" dT="2024-01-24T19:55:36.44" personId="{D947ED83-2D3F-414D-AC72-88D1051A1A35}" id="{5C925E64-C4B0-4A50-8023-AEB98F35C0BB}">
    <text>Dejar en blanco para tomar la fecha actual</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drawing" Target="../drawings/drawing4.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4.xml"/><Relationship Id="rId1" Type="http://schemas.openxmlformats.org/officeDocument/2006/relationships/vmlDrawing" Target="../drawings/vmlDrawing2.vml"/><Relationship Id="rId4" Type="http://schemas.microsoft.com/office/2017/10/relationships/threadedComment" Target="../threadedComments/threadedComment2.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14.xml"/><Relationship Id="rId13" Type="http://schemas.openxmlformats.org/officeDocument/2006/relationships/table" Target="../tables/table19.xml"/><Relationship Id="rId3" Type="http://schemas.openxmlformats.org/officeDocument/2006/relationships/table" Target="../tables/table9.xml"/><Relationship Id="rId7" Type="http://schemas.openxmlformats.org/officeDocument/2006/relationships/table" Target="../tables/table13.xml"/><Relationship Id="rId12" Type="http://schemas.openxmlformats.org/officeDocument/2006/relationships/table" Target="../tables/table18.xml"/><Relationship Id="rId2" Type="http://schemas.openxmlformats.org/officeDocument/2006/relationships/table" Target="../tables/table8.xml"/><Relationship Id="rId1" Type="http://schemas.openxmlformats.org/officeDocument/2006/relationships/printerSettings" Target="../printerSettings/printerSettings4.bin"/><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5" Type="http://schemas.openxmlformats.org/officeDocument/2006/relationships/table" Target="../tables/table21.xml"/><Relationship Id="rId10" Type="http://schemas.openxmlformats.org/officeDocument/2006/relationships/table" Target="../tables/table16.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0E9B5-5BB1-422F-B64B-A249FB535F81}">
  <sheetPr codeName="Sheet6">
    <pageSetUpPr fitToPage="1"/>
  </sheetPr>
  <dimension ref="A2:M63"/>
  <sheetViews>
    <sheetView showGridLines="0" tabSelected="1" zoomScale="115" zoomScaleNormal="115" zoomScalePageLayoutView="55" workbookViewId="0">
      <selection activeCell="B21" sqref="B21"/>
    </sheetView>
  </sheetViews>
  <sheetFormatPr defaultRowHeight="15" x14ac:dyDescent="0.25"/>
  <cols>
    <col min="1" max="1" width="5.7109375" customWidth="1"/>
    <col min="2" max="2" width="9.42578125" customWidth="1"/>
    <col min="3" max="3" width="41.7109375" customWidth="1"/>
    <col min="4" max="4" width="13.42578125" customWidth="1"/>
    <col min="5" max="5" width="19.140625" customWidth="1"/>
    <col min="6" max="6" width="8.5703125" customWidth="1"/>
    <col min="7" max="7" width="20.140625" customWidth="1"/>
    <col min="8" max="8" width="21.28515625" customWidth="1"/>
    <col min="9" max="9" width="5.7109375" customWidth="1"/>
  </cols>
  <sheetData>
    <row r="2" spans="1:10" ht="15" customHeight="1" x14ac:dyDescent="0.25">
      <c r="B2" s="102"/>
      <c r="C2" s="102"/>
      <c r="D2" s="102"/>
      <c r="E2" s="30"/>
      <c r="F2" s="30"/>
      <c r="I2" s="30"/>
      <c r="J2" s="80"/>
    </row>
    <row r="3" spans="1:10" ht="15" customHeight="1" x14ac:dyDescent="0.25">
      <c r="B3" s="102"/>
      <c r="C3" s="102"/>
      <c r="D3" s="102"/>
      <c r="G3" s="77" t="s">
        <v>558</v>
      </c>
      <c r="H3" s="63" t="s">
        <v>561</v>
      </c>
      <c r="I3" s="30"/>
      <c r="J3" s="80"/>
    </row>
    <row r="4" spans="1:10" ht="15" customHeight="1" x14ac:dyDescent="0.25">
      <c r="B4" s="102"/>
      <c r="C4" s="102"/>
      <c r="D4" s="102"/>
      <c r="G4" s="65" t="s">
        <v>557</v>
      </c>
      <c r="H4" s="64"/>
      <c r="I4" s="30"/>
      <c r="J4" s="80"/>
    </row>
    <row r="5" spans="1:10" ht="15" customHeight="1" x14ac:dyDescent="0.25">
      <c r="B5" s="103" t="s">
        <v>396</v>
      </c>
      <c r="C5" s="103"/>
      <c r="D5" s="103"/>
      <c r="G5" s="66" t="s">
        <v>397</v>
      </c>
      <c r="H5" s="40"/>
      <c r="J5" s="80"/>
    </row>
    <row r="6" spans="1:10" ht="15" customHeight="1" x14ac:dyDescent="0.25">
      <c r="B6" s="103"/>
      <c r="C6" s="103"/>
      <c r="D6" s="103"/>
      <c r="G6" s="66" t="s">
        <v>559</v>
      </c>
      <c r="H6" s="40"/>
      <c r="J6" s="80"/>
    </row>
    <row r="7" spans="1:10" x14ac:dyDescent="0.25">
      <c r="B7" s="103"/>
      <c r="C7" s="103"/>
      <c r="D7" s="103"/>
      <c r="G7" s="66" t="s">
        <v>560</v>
      </c>
      <c r="H7" s="40"/>
      <c r="J7" s="80"/>
    </row>
    <row r="8" spans="1:10" ht="6" customHeight="1" x14ac:dyDescent="0.25">
      <c r="A8" s="30"/>
      <c r="B8" s="71"/>
      <c r="C8" s="71"/>
      <c r="D8" s="71"/>
      <c r="E8" s="85"/>
      <c r="F8" s="85"/>
      <c r="G8" s="86"/>
      <c r="H8" s="86"/>
      <c r="J8" s="80"/>
    </row>
    <row r="9" spans="1:10" ht="20.25" customHeight="1" x14ac:dyDescent="0.25">
      <c r="B9" s="89"/>
      <c r="C9" s="89"/>
      <c r="D9" s="90"/>
      <c r="E9" s="104" t="s">
        <v>543</v>
      </c>
      <c r="F9" s="104"/>
      <c r="G9" s="104"/>
      <c r="H9" s="104"/>
      <c r="J9" s="80"/>
    </row>
    <row r="10" spans="1:10" x14ac:dyDescent="0.25">
      <c r="B10" s="87" t="s">
        <v>551</v>
      </c>
      <c r="C10" s="88">
        <v>1234788444</v>
      </c>
      <c r="D10" s="30"/>
      <c r="E10" s="30"/>
      <c r="F10" s="30"/>
      <c r="G10" s="96" t="s">
        <v>380</v>
      </c>
      <c r="H10" s="33">
        <f ca="1">IF(factura_ultima="FACTURA_ID",1,factura_ultima)</f>
        <v>14</v>
      </c>
      <c r="J10" s="80"/>
    </row>
    <row r="11" spans="1:10" x14ac:dyDescent="0.25">
      <c r="B11" s="96" t="s">
        <v>562</v>
      </c>
      <c r="C11" s="68" t="str">
        <f>IFERROR(_xlfn.XLOOKUP(factura_cliente,clientes_tb[NIT/C.C],clientes_tb[NOMBRE]),"")</f>
        <v>John Camargo</v>
      </c>
      <c r="D11" s="30"/>
      <c r="E11" s="30"/>
      <c r="F11" s="30"/>
      <c r="G11" s="69" t="s">
        <v>566</v>
      </c>
      <c r="H11" s="70">
        <f ca="1">TODAY()</f>
        <v>45462</v>
      </c>
      <c r="J11" s="80"/>
    </row>
    <row r="12" spans="1:10" ht="15" customHeight="1" x14ac:dyDescent="0.25">
      <c r="B12" s="67" t="s">
        <v>400</v>
      </c>
      <c r="C12" s="68">
        <f>IFERROR(_xlfn.XLOOKUP(factura_cliente,clientes_tb[NIT/C.C],clientes_tb[TELEFONO]),"")</f>
        <v>3138562603</v>
      </c>
      <c r="D12" s="30"/>
      <c r="E12" s="30"/>
      <c r="F12" s="30"/>
      <c r="G12" s="69" t="s">
        <v>567</v>
      </c>
      <c r="H12" s="70">
        <f ca="1">TODAY()</f>
        <v>45462</v>
      </c>
      <c r="J12" s="80"/>
    </row>
    <row r="13" spans="1:10" x14ac:dyDescent="0.25">
      <c r="B13" s="67" t="s">
        <v>563</v>
      </c>
      <c r="C13" s="68" t="str">
        <f>IFERROR(_xlfn.XLOOKUP(factura_cliente,clientes_tb[NIT/C.C],clientes_tb[DIRECCION]),"")</f>
        <v>Kr 40 # 23 b 51</v>
      </c>
      <c r="D13" s="30"/>
      <c r="E13" s="30"/>
      <c r="F13" s="30"/>
      <c r="G13" s="69" t="s">
        <v>586</v>
      </c>
      <c r="H13" s="101">
        <f ca="1">NOW()</f>
        <v>45462.572309143521</v>
      </c>
      <c r="J13" s="80"/>
    </row>
    <row r="14" spans="1:10" x14ac:dyDescent="0.25">
      <c r="B14" s="97" t="s">
        <v>564</v>
      </c>
      <c r="C14" s="98" t="str">
        <f>IFERROR(_xlfn.XLOOKUP(factura_cliente,clientes_tb[NIT/C.C],clientes_tb[CIUDAD]),"")</f>
        <v>Villavicencio</v>
      </c>
      <c r="D14" s="30"/>
      <c r="E14" s="30"/>
      <c r="F14" s="30"/>
      <c r="G14" s="97" t="s">
        <v>568</v>
      </c>
      <c r="H14" s="100" t="s">
        <v>556</v>
      </c>
      <c r="J14" s="80"/>
    </row>
    <row r="15" spans="1:10" x14ac:dyDescent="0.25">
      <c r="B15" s="96" t="s">
        <v>399</v>
      </c>
      <c r="C15" s="91" t="str">
        <f>IFERROR(_xlfn.XLOOKUP(factura_cliente,clientes_tb[NIT/C.C],clientes_tb[EMAIL]),"")</f>
        <v>john-alex131@hotmail.com</v>
      </c>
      <c r="D15" s="71"/>
      <c r="E15" s="71"/>
      <c r="F15" s="71"/>
      <c r="G15" s="96" t="s">
        <v>569</v>
      </c>
      <c r="H15" s="99" t="s">
        <v>439</v>
      </c>
      <c r="J15" s="80"/>
    </row>
    <row r="16" spans="1:10" x14ac:dyDescent="0.25">
      <c r="B16" s="92"/>
      <c r="C16" s="93"/>
      <c r="D16" s="94"/>
      <c r="E16" s="94"/>
      <c r="F16" s="94"/>
      <c r="G16" s="95"/>
      <c r="H16" s="95"/>
      <c r="J16" s="80"/>
    </row>
    <row r="17" spans="2:10" ht="16.5" x14ac:dyDescent="0.3">
      <c r="B17" s="27" t="s">
        <v>0</v>
      </c>
      <c r="C17" s="27" t="s">
        <v>1</v>
      </c>
      <c r="D17" s="74" t="s">
        <v>379</v>
      </c>
      <c r="E17" s="74" t="s">
        <v>394</v>
      </c>
      <c r="F17" s="74" t="s">
        <v>570</v>
      </c>
      <c r="G17" s="74" t="s">
        <v>572</v>
      </c>
      <c r="H17" s="74" t="s">
        <v>214</v>
      </c>
      <c r="I17" s="27"/>
      <c r="J17" s="80"/>
    </row>
    <row r="18" spans="2:10" ht="16.5" x14ac:dyDescent="0.3">
      <c r="B18" s="27" t="s">
        <v>86</v>
      </c>
      <c r="C18" s="36" t="str">
        <f>IFERROR(_xlfn.XLOOKUP(factura_tb[[#This Row],[ID]],total_leyenda[ID],total_leyenda[DESCRIPCION]),"")</f>
        <v>PARAFINADO 30X40 DISENIO ROJO</v>
      </c>
      <c r="D18" s="36">
        <v>10</v>
      </c>
      <c r="E18" s="37">
        <f>IFERROR(_xlfn.XLOOKUP(factura_tb[[#This Row],[ID]],total_leyenda[ID],total_leyenda[precio unitario]),"")</f>
        <v>713.27</v>
      </c>
      <c r="F18" s="72"/>
      <c r="G18" s="38">
        <f>IFERROR(_xlfn.XLOOKUP(factura_tb[[#This Row],[ID]],total_leyenda[ID],total_leyenda[Descuento]),"")</f>
        <v>0</v>
      </c>
      <c r="H18" s="39">
        <f>IFERROR(ROUNDUP(factura_tb[[#This Row],[CANTIDAD]]*factura_tb[[#This Row],[VALOR UNITARIO]],2),"")</f>
        <v>7132.7</v>
      </c>
      <c r="I18" s="27"/>
      <c r="J18" s="80"/>
    </row>
    <row r="19" spans="2:10" ht="16.5" x14ac:dyDescent="0.3">
      <c r="B19" s="27" t="s">
        <v>209</v>
      </c>
      <c r="C19" s="27" t="str">
        <f>IFERROR(_xlfn.XLOOKUP(factura_tb[[#This Row],[ID]],total_leyenda[ID],total_leyenda[DESCRIPCION]),"")</f>
        <v>BOLSA POLIPROPILENO DECORADA 5X7</v>
      </c>
      <c r="D19" s="27">
        <v>50</v>
      </c>
      <c r="E19" s="34">
        <f>IFERROR(_xlfn.XLOOKUP(factura_tb[[#This Row],[ID]],total_leyenda[ID],total_leyenda[precio unitario]),"")</f>
        <v>228.31</v>
      </c>
      <c r="F19" s="73"/>
      <c r="G19" s="29">
        <f>IFERROR(_xlfn.XLOOKUP(factura_tb[[#This Row],[ID]],total_leyenda[ID],total_leyenda[Descuento]),"")</f>
        <v>0</v>
      </c>
      <c r="H19" s="35">
        <f>IFERROR(ROUNDUP(factura_tb[[#This Row],[CANTIDAD]]*factura_tb[[#This Row],[VALOR UNITARIO]],2),"")</f>
        <v>11415.5</v>
      </c>
      <c r="I19" s="27"/>
      <c r="J19" s="80"/>
    </row>
    <row r="20" spans="2:10" ht="16.5" x14ac:dyDescent="0.3">
      <c r="B20" s="27" t="s">
        <v>178</v>
      </c>
      <c r="C20" s="27" t="str">
        <f>IFERROR(_xlfn.XLOOKUP(factura_tb[[#This Row],[ID]],total_leyenda[ID],total_leyenda[DESCRIPCION]),"")</f>
        <v>VINIPEL STRESS 20X300</v>
      </c>
      <c r="D20" s="27">
        <v>20</v>
      </c>
      <c r="E20" s="34">
        <f>IFERROR(_xlfn.XLOOKUP(factura_tb[[#This Row],[ID]],total_leyenda[ID],total_leyenda[precio unitario]),"")</f>
        <v>136.72999999999999</v>
      </c>
      <c r="F20" s="73"/>
      <c r="G20" s="29">
        <f>IFERROR(_xlfn.XLOOKUP(factura_tb[[#This Row],[ID]],total_leyenda[ID],total_leyenda[Descuento]),"")</f>
        <v>0</v>
      </c>
      <c r="H20" s="35">
        <f>IFERROR(ROUNDUP(factura_tb[[#This Row],[CANTIDAD]]*factura_tb[[#This Row],[VALOR UNITARIO]],2),"")</f>
        <v>2734.6</v>
      </c>
      <c r="I20" s="27"/>
      <c r="J20" s="80"/>
    </row>
    <row r="21" spans="2:10" ht="16.5" x14ac:dyDescent="0.3">
      <c r="B21" s="27"/>
      <c r="C21" s="27" t="str">
        <f>IFERROR(_xlfn.XLOOKUP(factura_tb[[#This Row],[ID]],total_leyenda[ID],total_leyenda[DESCRIPCION]),"")</f>
        <v/>
      </c>
      <c r="D21" s="27"/>
      <c r="E21" s="34" t="str">
        <f>IFERROR(_xlfn.XLOOKUP(factura_tb[[#This Row],[ID]],total_leyenda[ID],total_leyenda[precio unitario]),"")</f>
        <v/>
      </c>
      <c r="F21" s="73"/>
      <c r="G21" s="29" t="str">
        <f>IFERROR(_xlfn.XLOOKUP(factura_tb[[#This Row],[ID]],total_leyenda[ID],total_leyenda[Descuento]),"")</f>
        <v/>
      </c>
      <c r="H21" s="35" t="str">
        <f>IFERROR(ROUNDUP(factura_tb[[#This Row],[CANTIDAD]]*factura_tb[[#This Row],[VALOR UNITARIO]],2),"")</f>
        <v/>
      </c>
      <c r="I21" s="27"/>
      <c r="J21" s="80"/>
    </row>
    <row r="22" spans="2:10" ht="16.5" x14ac:dyDescent="0.3">
      <c r="B22" s="27"/>
      <c r="C22" s="27" t="str">
        <f>IFERROR(_xlfn.XLOOKUP(factura_tb[[#This Row],[ID]],total_leyenda[ID],total_leyenda[DESCRIPCION]),"")</f>
        <v/>
      </c>
      <c r="D22" s="27"/>
      <c r="E22" s="34" t="str">
        <f>IFERROR(_xlfn.XLOOKUP(factura_tb[[#This Row],[ID]],total_leyenda[ID],total_leyenda[precio unitario]),"")</f>
        <v/>
      </c>
      <c r="F22" s="73"/>
      <c r="G22" s="29" t="str">
        <f>IFERROR(_xlfn.XLOOKUP(factura_tb[[#This Row],[ID]],total_leyenda[ID],total_leyenda[Descuento]),"")</f>
        <v/>
      </c>
      <c r="H22" s="35" t="str">
        <f>IFERROR(ROUNDUP(factura_tb[[#This Row],[CANTIDAD]]*factura_tb[[#This Row],[VALOR UNITARIO]],2),"")</f>
        <v/>
      </c>
      <c r="I22" s="27"/>
      <c r="J22" s="80"/>
    </row>
    <row r="23" spans="2:10" ht="16.5" x14ac:dyDescent="0.3">
      <c r="B23" s="27"/>
      <c r="C23" s="27" t="str">
        <f>IFERROR(_xlfn.XLOOKUP(factura_tb[[#This Row],[ID]],total_leyenda[ID],total_leyenda[DESCRIPCION]),"")</f>
        <v/>
      </c>
      <c r="D23" s="27"/>
      <c r="E23" s="34" t="str">
        <f>IFERROR(_xlfn.XLOOKUP(factura_tb[[#This Row],[ID]],total_leyenda[ID],total_leyenda[precio unitario]),"")</f>
        <v/>
      </c>
      <c r="F23" s="73"/>
      <c r="G23" s="29" t="str">
        <f>IFERROR(_xlfn.XLOOKUP(factura_tb[[#This Row],[ID]],total_leyenda[ID],total_leyenda[Descuento]),"")</f>
        <v/>
      </c>
      <c r="H23" s="35" t="str">
        <f>IFERROR(ROUNDUP(factura_tb[[#This Row],[CANTIDAD]]*factura_tb[[#This Row],[VALOR UNITARIO]],2),"")</f>
        <v/>
      </c>
      <c r="I23" s="27"/>
      <c r="J23" s="80"/>
    </row>
    <row r="24" spans="2:10" ht="16.5" x14ac:dyDescent="0.3">
      <c r="B24" s="27"/>
      <c r="C24" s="27" t="str">
        <f>IFERROR(_xlfn.XLOOKUP(factura_tb[[#This Row],[ID]],total_leyenda[ID],total_leyenda[DESCRIPCION]),"")</f>
        <v/>
      </c>
      <c r="D24" s="27"/>
      <c r="E24" s="34" t="str">
        <f>IFERROR(_xlfn.XLOOKUP(factura_tb[[#This Row],[ID]],total_leyenda[ID],total_leyenda[precio unitario]),"")</f>
        <v/>
      </c>
      <c r="F24" s="73"/>
      <c r="G24" s="29" t="str">
        <f>IFERROR(_xlfn.XLOOKUP(factura_tb[[#This Row],[ID]],total_leyenda[ID],total_leyenda[Descuento]),"")</f>
        <v/>
      </c>
      <c r="H24" s="35" t="str">
        <f>IFERROR(ROUNDUP(factura_tb[[#This Row],[CANTIDAD]]*factura_tb[[#This Row],[VALOR UNITARIO]],2),"")</f>
        <v/>
      </c>
      <c r="I24" s="27"/>
      <c r="J24" s="80"/>
    </row>
    <row r="25" spans="2:10" ht="16.5" x14ac:dyDescent="0.3">
      <c r="B25" s="27"/>
      <c r="C25" s="27" t="str">
        <f>IFERROR(_xlfn.XLOOKUP(factura_tb[[#This Row],[ID]],total_leyenda[ID],total_leyenda[DESCRIPCION]),"")</f>
        <v/>
      </c>
      <c r="D25" s="27"/>
      <c r="E25" s="34" t="str">
        <f>IFERROR(_xlfn.XLOOKUP(factura_tb[[#This Row],[ID]],total_leyenda[ID],total_leyenda[precio unitario]),"")</f>
        <v/>
      </c>
      <c r="F25" s="73"/>
      <c r="G25" s="29" t="str">
        <f>IFERROR(_xlfn.XLOOKUP(factura_tb[[#This Row],[ID]],total_leyenda[ID],total_leyenda[Descuento]),"")</f>
        <v/>
      </c>
      <c r="H25" s="35" t="str">
        <f>IFERROR(ROUNDUP(factura_tb[[#This Row],[CANTIDAD]]*factura_tb[[#This Row],[VALOR UNITARIO]],2),"")</f>
        <v/>
      </c>
      <c r="I25" s="27"/>
      <c r="J25" s="80"/>
    </row>
    <row r="26" spans="2:10" ht="16.5" x14ac:dyDescent="0.3">
      <c r="B26" s="27"/>
      <c r="C26" s="27" t="str">
        <f>IFERROR(_xlfn.XLOOKUP(factura_tb[[#This Row],[ID]],total_leyenda[ID],total_leyenda[DESCRIPCION]),"")</f>
        <v/>
      </c>
      <c r="D26" s="27"/>
      <c r="E26" s="34" t="str">
        <f>IFERROR(_xlfn.XLOOKUP(factura_tb[[#This Row],[ID]],total_leyenda[ID],total_leyenda[precio unitario]),"")</f>
        <v/>
      </c>
      <c r="F26" s="73"/>
      <c r="G26" s="29" t="str">
        <f>IFERROR(_xlfn.XLOOKUP(factura_tb[[#This Row],[ID]],total_leyenda[ID],total_leyenda[Descuento]),"")</f>
        <v/>
      </c>
      <c r="H26" s="35" t="str">
        <f>IFERROR(ROUNDUP(factura_tb[[#This Row],[CANTIDAD]]*factura_tb[[#This Row],[VALOR UNITARIO]],2),"")</f>
        <v/>
      </c>
      <c r="I26" s="27"/>
      <c r="J26" s="80"/>
    </row>
    <row r="27" spans="2:10" ht="16.5" x14ac:dyDescent="0.3">
      <c r="B27" s="27"/>
      <c r="C27" s="27" t="str">
        <f>IFERROR(_xlfn.XLOOKUP(factura_tb[[#This Row],[ID]],total_leyenda[ID],total_leyenda[DESCRIPCION]),"")</f>
        <v/>
      </c>
      <c r="D27" s="27"/>
      <c r="E27" s="34" t="str">
        <f>IFERROR(_xlfn.XLOOKUP(factura_tb[[#This Row],[ID]],total_leyenda[ID],total_leyenda[precio unitario]),"")</f>
        <v/>
      </c>
      <c r="F27" s="73"/>
      <c r="G27" s="29" t="str">
        <f>IFERROR(_xlfn.XLOOKUP(factura_tb[[#This Row],[ID]],total_leyenda[ID],total_leyenda[Descuento]),"")</f>
        <v/>
      </c>
      <c r="H27" s="35" t="str">
        <f>IFERROR(ROUNDUP(factura_tb[[#This Row],[CANTIDAD]]*factura_tb[[#This Row],[VALOR UNITARIO]],2),"")</f>
        <v/>
      </c>
      <c r="I27" s="27"/>
      <c r="J27" s="80"/>
    </row>
    <row r="28" spans="2:10" ht="16.5" x14ac:dyDescent="0.3">
      <c r="B28" s="27"/>
      <c r="C28" s="27" t="str">
        <f>IFERROR(_xlfn.XLOOKUP(factura_tb[[#This Row],[ID]],total_leyenda[ID],total_leyenda[DESCRIPCION]),"")</f>
        <v/>
      </c>
      <c r="D28" s="27"/>
      <c r="E28" s="34" t="str">
        <f>IFERROR(_xlfn.XLOOKUP(factura_tb[[#This Row],[ID]],total_leyenda[ID],total_leyenda[precio unitario]),"")</f>
        <v/>
      </c>
      <c r="F28" s="73"/>
      <c r="G28" s="29" t="str">
        <f>IFERROR(_xlfn.XLOOKUP(factura_tb[[#This Row],[ID]],total_leyenda[ID],total_leyenda[Descuento]),"")</f>
        <v/>
      </c>
      <c r="H28" s="35" t="str">
        <f>IFERROR(ROUNDUP(factura_tb[[#This Row],[CANTIDAD]]*factura_tb[[#This Row],[VALOR UNITARIO]],2),"")</f>
        <v/>
      </c>
      <c r="I28" s="27"/>
      <c r="J28" s="80"/>
    </row>
    <row r="29" spans="2:10" ht="16.5" x14ac:dyDescent="0.3">
      <c r="B29" s="27"/>
      <c r="C29" s="27" t="str">
        <f>IFERROR(_xlfn.XLOOKUP(factura_tb[[#This Row],[ID]],total_leyenda[ID],total_leyenda[DESCRIPCION]),"")</f>
        <v/>
      </c>
      <c r="D29" s="27"/>
      <c r="E29" s="34" t="str">
        <f>IFERROR(_xlfn.XLOOKUP(factura_tb[[#This Row],[ID]],total_leyenda[ID],total_leyenda[precio unitario]),"")</f>
        <v/>
      </c>
      <c r="F29" s="73"/>
      <c r="G29" s="29" t="str">
        <f>IFERROR(_xlfn.XLOOKUP(factura_tb[[#This Row],[ID]],total_leyenda[ID],total_leyenda[Descuento]),"")</f>
        <v/>
      </c>
      <c r="H29" s="35" t="str">
        <f>IFERROR(ROUNDUP(factura_tb[[#This Row],[CANTIDAD]]*factura_tb[[#This Row],[VALOR UNITARIO]],2),"")</f>
        <v/>
      </c>
      <c r="I29" s="27"/>
      <c r="J29" s="80"/>
    </row>
    <row r="30" spans="2:10" ht="16.5" x14ac:dyDescent="0.3">
      <c r="B30" s="27"/>
      <c r="C30" s="27" t="str">
        <f>IFERROR(_xlfn.XLOOKUP(factura_tb[[#This Row],[ID]],total_leyenda[ID],total_leyenda[DESCRIPCION]),"")</f>
        <v/>
      </c>
      <c r="D30" s="27"/>
      <c r="E30" s="34" t="str">
        <f>IFERROR(_xlfn.XLOOKUP(factura_tb[[#This Row],[ID]],total_leyenda[ID],total_leyenda[precio unitario]),"")</f>
        <v/>
      </c>
      <c r="F30" s="73"/>
      <c r="G30" s="29" t="str">
        <f>IFERROR(_xlfn.XLOOKUP(factura_tb[[#This Row],[ID]],total_leyenda[ID],total_leyenda[Descuento]),"")</f>
        <v/>
      </c>
      <c r="H30" s="35" t="str">
        <f>IFERROR(ROUNDUP(factura_tb[[#This Row],[CANTIDAD]]*factura_tb[[#This Row],[VALOR UNITARIO]],2),"")</f>
        <v/>
      </c>
      <c r="I30" s="27"/>
      <c r="J30" s="80"/>
    </row>
    <row r="31" spans="2:10" ht="16.5" x14ac:dyDescent="0.3">
      <c r="B31" s="27"/>
      <c r="C31" s="27" t="str">
        <f>IFERROR(_xlfn.XLOOKUP(factura_tb[[#This Row],[ID]],total_leyenda[ID],total_leyenda[DESCRIPCION]),"")</f>
        <v/>
      </c>
      <c r="D31" s="27"/>
      <c r="E31" s="34" t="str">
        <f>IFERROR(_xlfn.XLOOKUP(factura_tb[[#This Row],[ID]],total_leyenda[ID],total_leyenda[precio unitario]),"")</f>
        <v/>
      </c>
      <c r="F31" s="73"/>
      <c r="G31" s="29" t="str">
        <f>IFERROR(_xlfn.XLOOKUP(factura_tb[[#This Row],[ID]],total_leyenda[ID],total_leyenda[Descuento]),"")</f>
        <v/>
      </c>
      <c r="H31" s="35" t="str">
        <f>IFERROR(ROUNDUP(factura_tb[[#This Row],[CANTIDAD]]*factura_tb[[#This Row],[VALOR UNITARIO]],2),"")</f>
        <v/>
      </c>
      <c r="I31" s="27"/>
      <c r="J31" s="80"/>
    </row>
    <row r="32" spans="2:10" ht="16.5" x14ac:dyDescent="0.3">
      <c r="B32" s="27"/>
      <c r="C32" s="27" t="str">
        <f>IFERROR(_xlfn.XLOOKUP(factura_tb[[#This Row],[ID]],total_leyenda[ID],total_leyenda[DESCRIPCION]),"")</f>
        <v/>
      </c>
      <c r="D32" s="27"/>
      <c r="E32" s="34" t="str">
        <f>IFERROR(_xlfn.XLOOKUP(factura_tb[[#This Row],[ID]],total_leyenda[ID],total_leyenda[precio unitario]),"")</f>
        <v/>
      </c>
      <c r="F32" s="73"/>
      <c r="G32" s="29" t="str">
        <f>IFERROR(_xlfn.XLOOKUP(factura_tb[[#This Row],[ID]],total_leyenda[ID],total_leyenda[Descuento]),"")</f>
        <v/>
      </c>
      <c r="H32" s="35" t="str">
        <f>IFERROR(ROUNDUP(factura_tb[[#This Row],[CANTIDAD]]*factura_tb[[#This Row],[VALOR UNITARIO]],2),"")</f>
        <v/>
      </c>
      <c r="I32" s="27"/>
      <c r="J32" s="80"/>
    </row>
    <row r="33" spans="2:13" ht="16.5" x14ac:dyDescent="0.3">
      <c r="B33" s="27"/>
      <c r="C33" s="27" t="str">
        <f>IFERROR(_xlfn.XLOOKUP(factura_tb[[#This Row],[ID]],total_leyenda[ID],total_leyenda[DESCRIPCION]),"")</f>
        <v/>
      </c>
      <c r="D33" s="27"/>
      <c r="E33" s="34" t="str">
        <f>IFERROR(_xlfn.XLOOKUP(factura_tb[[#This Row],[ID]],total_leyenda[ID],total_leyenda[precio unitario]),"")</f>
        <v/>
      </c>
      <c r="F33" s="73"/>
      <c r="G33" s="29" t="str">
        <f>IFERROR(_xlfn.XLOOKUP(factura_tb[[#This Row],[ID]],total_leyenda[ID],total_leyenda[Descuento]),"")</f>
        <v/>
      </c>
      <c r="H33" s="35" t="str">
        <f>IFERROR(ROUNDUP(factura_tb[[#This Row],[CANTIDAD]]*factura_tb[[#This Row],[VALOR UNITARIO]],2),"")</f>
        <v/>
      </c>
      <c r="I33" s="27"/>
      <c r="J33" s="80"/>
    </row>
    <row r="34" spans="2:13" ht="16.5" x14ac:dyDescent="0.3">
      <c r="B34" s="27"/>
      <c r="C34" s="27" t="str">
        <f>IFERROR(_xlfn.XLOOKUP(factura_tb[[#This Row],[ID]],total_leyenda[ID],total_leyenda[DESCRIPCION]),"")</f>
        <v/>
      </c>
      <c r="D34" s="27"/>
      <c r="E34" s="34" t="str">
        <f>IFERROR(_xlfn.XLOOKUP(factura_tb[[#This Row],[ID]],total_leyenda[ID],total_leyenda[precio unitario]),"")</f>
        <v/>
      </c>
      <c r="F34" s="73"/>
      <c r="G34" s="29" t="str">
        <f>IFERROR(_xlfn.XLOOKUP(factura_tb[[#This Row],[ID]],total_leyenda[ID],total_leyenda[Descuento]),"")</f>
        <v/>
      </c>
      <c r="H34" s="35" t="str">
        <f>IFERROR(ROUNDUP(factura_tb[[#This Row],[CANTIDAD]]*factura_tb[[#This Row],[VALOR UNITARIO]],2),"")</f>
        <v/>
      </c>
      <c r="I34" s="27"/>
      <c r="J34" s="80"/>
    </row>
    <row r="35" spans="2:13" ht="16.5" x14ac:dyDescent="0.3">
      <c r="B35" s="27"/>
      <c r="C35" s="27" t="str">
        <f>IFERROR(_xlfn.XLOOKUP(factura_tb[[#This Row],[ID]],total_leyenda[ID],total_leyenda[DESCRIPCION]),"")</f>
        <v/>
      </c>
      <c r="D35" s="27"/>
      <c r="E35" s="34" t="str">
        <f>IFERROR(_xlfn.XLOOKUP(factura_tb[[#This Row],[ID]],total_leyenda[ID],total_leyenda[precio unitario]),"")</f>
        <v/>
      </c>
      <c r="F35" s="73"/>
      <c r="G35" s="29" t="str">
        <f>IFERROR(_xlfn.XLOOKUP(factura_tb[[#This Row],[ID]],total_leyenda[ID],total_leyenda[Descuento]),"")</f>
        <v/>
      </c>
      <c r="H35" s="35" t="str">
        <f>IFERROR(ROUNDUP(factura_tb[[#This Row],[CANTIDAD]]*factura_tb[[#This Row],[VALOR UNITARIO]],2),"")</f>
        <v/>
      </c>
      <c r="I35" s="27"/>
      <c r="J35" s="80"/>
    </row>
    <row r="36" spans="2:13" ht="16.5" x14ac:dyDescent="0.3">
      <c r="B36" s="27"/>
      <c r="C36" s="27" t="str">
        <f>IFERROR(_xlfn.XLOOKUP(factura_tb[[#This Row],[ID]],total_leyenda[ID],total_leyenda[DESCRIPCION]),"")</f>
        <v/>
      </c>
      <c r="D36" s="27"/>
      <c r="E36" s="34" t="str">
        <f>IFERROR(_xlfn.XLOOKUP(factura_tb[[#This Row],[ID]],total_leyenda[ID],total_leyenda[precio unitario]),"")</f>
        <v/>
      </c>
      <c r="F36" s="73"/>
      <c r="G36" s="29" t="str">
        <f>IFERROR(_xlfn.XLOOKUP(factura_tb[[#This Row],[ID]],total_leyenda[ID],total_leyenda[Descuento]),"")</f>
        <v/>
      </c>
      <c r="H36" s="35" t="str">
        <f>IFERROR(ROUNDUP(factura_tb[[#This Row],[CANTIDAD]]*factura_tb[[#This Row],[VALOR UNITARIO]],2),"")</f>
        <v/>
      </c>
      <c r="I36" s="27"/>
      <c r="J36" s="80"/>
    </row>
    <row r="37" spans="2:13" ht="16.5" x14ac:dyDescent="0.3">
      <c r="B37" s="27"/>
      <c r="C37" s="78" t="str">
        <f>IFERROR(_xlfn.XLOOKUP(factura_tb[[#This Row],[ID]],total_leyenda[ID],total_leyenda[DESCRIPCION]),"")</f>
        <v/>
      </c>
      <c r="D37" s="27"/>
      <c r="E37" s="79" t="str">
        <f>IFERROR(_xlfn.XLOOKUP(factura_tb[[#This Row],[ID]],total_leyenda[ID],total_leyenda[precio unitario]),"")</f>
        <v/>
      </c>
      <c r="F37" s="73"/>
      <c r="G37" s="29" t="str">
        <f>IFERROR(_xlfn.XLOOKUP(factura_tb[[#This Row],[ID]],total_leyenda[ID],total_leyenda[Descuento]),"")</f>
        <v/>
      </c>
      <c r="H37" s="35" t="str">
        <f>IFERROR(ROUNDUP(factura_tb[[#This Row],[CANTIDAD]]*factura_tb[[#This Row],[VALOR UNITARIO]],2),"")</f>
        <v/>
      </c>
      <c r="I37" s="27"/>
      <c r="J37" s="80"/>
    </row>
    <row r="38" spans="2:13" ht="16.5" x14ac:dyDescent="0.3">
      <c r="B38" s="27"/>
      <c r="C38" s="78" t="str">
        <f>IFERROR(_xlfn.XLOOKUP(factura_tb[[#This Row],[ID]],total_leyenda[ID],total_leyenda[DESCRIPCION]),"")</f>
        <v/>
      </c>
      <c r="D38" s="27"/>
      <c r="E38" s="79" t="str">
        <f>IFERROR(_xlfn.XLOOKUP(factura_tb[[#This Row],[ID]],total_leyenda[ID],total_leyenda[precio unitario]),"")</f>
        <v/>
      </c>
      <c r="F38" s="73"/>
      <c r="G38" s="29" t="str">
        <f>IFERROR(_xlfn.XLOOKUP(factura_tb[[#This Row],[ID]],total_leyenda[ID],total_leyenda[Descuento]),"")</f>
        <v/>
      </c>
      <c r="H38" s="35" t="str">
        <f>IFERROR(ROUNDUP(factura_tb[[#This Row],[CANTIDAD]]*factura_tb[[#This Row],[VALOR UNITARIO]],2),"")</f>
        <v/>
      </c>
      <c r="I38" s="27"/>
      <c r="J38" s="81"/>
      <c r="K38" s="43"/>
      <c r="L38" s="43"/>
      <c r="M38" s="43"/>
    </row>
    <row r="39" spans="2:13" ht="16.5" x14ac:dyDescent="0.3">
      <c r="B39" s="27"/>
      <c r="C39" s="78" t="str">
        <f>IFERROR(_xlfn.XLOOKUP(factura_tb[[#This Row],[ID]],total_leyenda[ID],total_leyenda[DESCRIPCION]),"")</f>
        <v/>
      </c>
      <c r="D39" s="27"/>
      <c r="E39" s="79" t="str">
        <f>IFERROR(_xlfn.XLOOKUP(factura_tb[[#This Row],[ID]],total_leyenda[ID],total_leyenda[precio unitario]),"")</f>
        <v/>
      </c>
      <c r="F39" s="73"/>
      <c r="G39" s="29" t="str">
        <f>IFERROR(_xlfn.XLOOKUP(factura_tb[[#This Row],[ID]],total_leyenda[ID],total_leyenda[Descuento]),"")</f>
        <v/>
      </c>
      <c r="H39" s="35" t="str">
        <f>IFERROR(ROUNDUP(factura_tb[[#This Row],[CANTIDAD]]*factura_tb[[#This Row],[VALOR UNITARIO]],2),"")</f>
        <v/>
      </c>
      <c r="I39" s="27"/>
      <c r="J39" s="81"/>
      <c r="K39" s="43"/>
      <c r="L39" s="43"/>
      <c r="M39" s="43"/>
    </row>
    <row r="40" spans="2:13" ht="16.5" x14ac:dyDescent="0.3">
      <c r="B40" s="27"/>
      <c r="C40" s="27"/>
      <c r="D40" s="27"/>
      <c r="E40" s="27"/>
      <c r="F40" s="27"/>
      <c r="G40" s="27"/>
      <c r="H40" s="27"/>
      <c r="I40" s="27"/>
      <c r="J40" s="81"/>
      <c r="K40" s="43"/>
      <c r="L40" s="43"/>
      <c r="M40" s="43"/>
    </row>
    <row r="41" spans="2:13" ht="16.5" customHeight="1" x14ac:dyDescent="0.3">
      <c r="I41" s="27"/>
      <c r="J41" s="81"/>
      <c r="K41" s="43"/>
      <c r="L41" s="43"/>
      <c r="M41" s="43"/>
    </row>
    <row r="42" spans="2:13" ht="16.5" customHeight="1" x14ac:dyDescent="0.3">
      <c r="I42" s="27"/>
      <c r="J42" s="81"/>
      <c r="K42" s="43"/>
      <c r="L42" s="43"/>
    </row>
    <row r="43" spans="2:13" ht="16.5" customHeight="1" x14ac:dyDescent="0.3">
      <c r="E43" s="105" t="s">
        <v>402</v>
      </c>
      <c r="F43" s="106"/>
      <c r="G43" s="107"/>
      <c r="H43" s="118">
        <f>F_total-F_iva</f>
        <v>17253</v>
      </c>
      <c r="I43" s="27"/>
      <c r="J43" s="81"/>
      <c r="K43" s="43"/>
      <c r="L43" s="43"/>
    </row>
    <row r="44" spans="2:13" ht="16.5" x14ac:dyDescent="0.3">
      <c r="E44" s="108"/>
      <c r="F44" s="109"/>
      <c r="G44" s="110"/>
      <c r="H44" s="119"/>
      <c r="I44" s="27"/>
      <c r="J44" s="81"/>
      <c r="K44" s="43"/>
      <c r="L44" s="43"/>
    </row>
    <row r="45" spans="2:13" ht="16.5" x14ac:dyDescent="0.3">
      <c r="E45" s="105" t="s">
        <v>403</v>
      </c>
      <c r="F45" s="106"/>
      <c r="G45" s="107"/>
      <c r="H45" s="118">
        <f>ROUND(H47*0.19,2)</f>
        <v>4047</v>
      </c>
      <c r="I45" s="27"/>
      <c r="J45" s="81"/>
      <c r="K45" s="43"/>
      <c r="L45" s="43"/>
    </row>
    <row r="46" spans="2:13" ht="16.5" x14ac:dyDescent="0.3">
      <c r="E46" s="108"/>
      <c r="F46" s="109"/>
      <c r="G46" s="110"/>
      <c r="H46" s="119"/>
      <c r="I46" s="27"/>
      <c r="J46" s="81"/>
      <c r="K46" s="43"/>
      <c r="L46" s="43"/>
    </row>
    <row r="47" spans="2:13" ht="16.5" x14ac:dyDescent="0.3">
      <c r="E47" s="120" t="s">
        <v>573</v>
      </c>
      <c r="F47" s="121"/>
      <c r="G47" s="122"/>
      <c r="H47" s="126">
        <f>ROUNDUP(SUM(factura_tb[TOTAL]),0) + IF(VALUE(RIGHT(_xlfn.VALUETOTEXT(ROUNDUP(SUM(factura_tb[TOTAL]),0)),2))&gt;50,100-RIGHT(_xlfn.VALUETOTEXT(ROUNDUP(SUM(factura_tb[TOTAL]),0)),2),50-RIGHT(_xlfn.VALUETOTEXT(ROUNDUP(SUM(factura_tb[TOTAL]),0)),2))</f>
        <v>21300</v>
      </c>
      <c r="I47" s="27"/>
      <c r="J47" s="81"/>
      <c r="K47" s="43"/>
      <c r="L47" s="43"/>
    </row>
    <row r="48" spans="2:13" ht="16.5" x14ac:dyDescent="0.3">
      <c r="E48" s="123"/>
      <c r="F48" s="124"/>
      <c r="G48" s="125"/>
      <c r="H48" s="127"/>
      <c r="I48" s="27"/>
      <c r="J48" s="80"/>
    </row>
    <row r="49" spans="2:10" ht="16.5" x14ac:dyDescent="0.3">
      <c r="I49" s="27"/>
      <c r="J49" s="80"/>
    </row>
    <row r="50" spans="2:10" ht="16.5" x14ac:dyDescent="0.3">
      <c r="I50" s="27"/>
      <c r="J50" s="80"/>
    </row>
    <row r="51" spans="2:10" ht="16.5" customHeight="1" x14ac:dyDescent="0.3">
      <c r="I51" s="27"/>
      <c r="J51" s="80"/>
    </row>
    <row r="52" spans="2:10" ht="15" customHeight="1" x14ac:dyDescent="0.25">
      <c r="J52" s="80"/>
    </row>
    <row r="53" spans="2:10" ht="15.75" x14ac:dyDescent="0.25">
      <c r="B53" s="117" t="s">
        <v>405</v>
      </c>
      <c r="C53" s="49" t="s">
        <v>406</v>
      </c>
      <c r="J53" s="80"/>
    </row>
    <row r="54" spans="2:10" ht="15.75" x14ac:dyDescent="0.25">
      <c r="B54" s="117"/>
      <c r="C54" s="76" t="s">
        <v>408</v>
      </c>
      <c r="J54" s="80"/>
    </row>
    <row r="55" spans="2:10" x14ac:dyDescent="0.25">
      <c r="J55" s="80"/>
    </row>
    <row r="56" spans="2:10" x14ac:dyDescent="0.25">
      <c r="J56" s="80"/>
    </row>
    <row r="57" spans="2:10" x14ac:dyDescent="0.25">
      <c r="J57" s="80"/>
    </row>
    <row r="58" spans="2:10" x14ac:dyDescent="0.25">
      <c r="B58" s="111" t="s">
        <v>407</v>
      </c>
      <c r="C58" s="112"/>
      <c r="D58" s="112"/>
      <c r="E58" s="112"/>
      <c r="F58" s="112"/>
      <c r="G58" s="112"/>
      <c r="H58" s="113"/>
      <c r="J58" s="80"/>
    </row>
    <row r="59" spans="2:10" x14ac:dyDescent="0.25">
      <c r="B59" s="114"/>
      <c r="C59" s="115"/>
      <c r="D59" s="115"/>
      <c r="E59" s="115"/>
      <c r="F59" s="115"/>
      <c r="G59" s="115"/>
      <c r="H59" s="116"/>
      <c r="J59" s="80"/>
    </row>
    <row r="60" spans="2:10" x14ac:dyDescent="0.25">
      <c r="J60" s="80"/>
    </row>
    <row r="61" spans="2:10" x14ac:dyDescent="0.25">
      <c r="J61" s="80"/>
    </row>
    <row r="62" spans="2:10" x14ac:dyDescent="0.25">
      <c r="J62" s="80"/>
    </row>
    <row r="63" spans="2:10" x14ac:dyDescent="0.25">
      <c r="J63" s="80"/>
    </row>
  </sheetData>
  <mergeCells count="11">
    <mergeCell ref="B2:D4"/>
    <mergeCell ref="B5:D7"/>
    <mergeCell ref="E9:H9"/>
    <mergeCell ref="E43:G44"/>
    <mergeCell ref="B58:H59"/>
    <mergeCell ref="B53:B54"/>
    <mergeCell ref="H43:H44"/>
    <mergeCell ref="E45:G46"/>
    <mergeCell ref="H45:H46"/>
    <mergeCell ref="E47:G48"/>
    <mergeCell ref="H47:H48"/>
  </mergeCells>
  <conditionalFormatting sqref="C10">
    <cfRule type="cellIs" dxfId="172" priority="1" operator="equal">
      <formula>""</formula>
    </cfRule>
  </conditionalFormatting>
  <dataValidations count="4">
    <dataValidation type="list" allowBlank="1" showInputMessage="1" showErrorMessage="1" sqref="B18:B39" xr:uid="{EA40DAB7-FE6C-4A20-BC48-9C065C1C7139}">
      <formula1>id_product</formula1>
    </dataValidation>
    <dataValidation type="list" allowBlank="1" showInputMessage="1" showErrorMessage="1" sqref="C10" xr:uid="{61092DAD-36CD-4559-AE92-72EB0DC44D5E}">
      <formula1>ID_Cliente</formula1>
    </dataValidation>
    <dataValidation type="list" allowBlank="1" showInputMessage="1" showErrorMessage="1" sqref="H14" xr:uid="{C7980260-DF7A-44B5-817B-D46A9C8B0D1E}">
      <formula1>formas_pago</formula1>
    </dataValidation>
    <dataValidation type="list" allowBlank="1" showInputMessage="1" showErrorMessage="1" sqref="H15" xr:uid="{CDFF914A-F4FF-4C15-A50D-CD96CCAFBAA8}">
      <formula1>medios_pago</formula1>
    </dataValidation>
  </dataValidations>
  <pageMargins left="0.25" right="0.25" top="0.5" bottom="0.5" header="0" footer="0"/>
  <pageSetup scale="70" fitToHeight="0"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FED8F-4ADC-4A62-B31C-14E307618F7C}">
  <sheetPr codeName="Sheet10">
    <pageSetUpPr fitToPage="1"/>
  </sheetPr>
  <dimension ref="B2:K107"/>
  <sheetViews>
    <sheetView showGridLines="0" zoomScale="130" zoomScaleNormal="130" workbookViewId="0">
      <selection activeCell="J39" sqref="J39"/>
    </sheetView>
  </sheetViews>
  <sheetFormatPr defaultRowHeight="15" x14ac:dyDescent="0.25"/>
  <cols>
    <col min="2" max="2" width="14.7109375" customWidth="1"/>
    <col min="3" max="3" width="8.28515625" customWidth="1"/>
    <col min="4" max="4" width="1.28515625" customWidth="1"/>
    <col min="5" max="5" width="8.5703125" customWidth="1"/>
    <col min="6" max="6" width="0.85546875" customWidth="1"/>
    <col min="7" max="7" width="12.7109375" customWidth="1"/>
    <col min="8" max="8" width="21.42578125" bestFit="1" customWidth="1"/>
    <col min="10" max="10" width="21.28515625" bestFit="1" customWidth="1"/>
  </cols>
  <sheetData>
    <row r="2" spans="2:7" ht="18" customHeight="1" x14ac:dyDescent="0.25"/>
    <row r="3" spans="2:7" ht="16.5" customHeight="1" x14ac:dyDescent="0.25">
      <c r="B3" s="143" t="s">
        <v>444</v>
      </c>
      <c r="C3" s="143"/>
      <c r="D3" s="143"/>
      <c r="E3" s="143"/>
      <c r="F3" s="143"/>
      <c r="G3" s="143"/>
    </row>
    <row r="4" spans="2:7" ht="15" customHeight="1" x14ac:dyDescent="0.25">
      <c r="B4" s="146" t="s">
        <v>395</v>
      </c>
      <c r="C4" s="146"/>
      <c r="D4" s="146"/>
      <c r="E4" s="146"/>
      <c r="F4" s="146"/>
      <c r="G4" s="146"/>
    </row>
    <row r="5" spans="2:7" ht="15" customHeight="1" x14ac:dyDescent="0.25">
      <c r="B5" s="146"/>
      <c r="C5" s="146"/>
      <c r="D5" s="146"/>
      <c r="E5" s="146"/>
      <c r="F5" s="146"/>
      <c r="G5" s="146"/>
    </row>
    <row r="6" spans="2:7" ht="15" customHeight="1" x14ac:dyDescent="0.25">
      <c r="B6" s="145" t="s">
        <v>396</v>
      </c>
      <c r="C6" s="145"/>
      <c r="D6" s="145"/>
      <c r="E6" s="145"/>
      <c r="F6" s="145"/>
      <c r="G6" s="145"/>
    </row>
    <row r="7" spans="2:7" ht="15" customHeight="1" x14ac:dyDescent="0.25">
      <c r="B7" s="145"/>
      <c r="C7" s="145"/>
      <c r="D7" s="145"/>
      <c r="E7" s="145"/>
      <c r="F7" s="145"/>
      <c r="G7" s="145"/>
    </row>
    <row r="8" spans="2:7" ht="15" customHeight="1" x14ac:dyDescent="0.25">
      <c r="B8" s="145"/>
      <c r="C8" s="145"/>
      <c r="D8" s="145"/>
      <c r="E8" s="145"/>
      <c r="F8" s="145"/>
      <c r="G8" s="145"/>
    </row>
    <row r="9" spans="2:7" ht="15" customHeight="1" x14ac:dyDescent="0.25">
      <c r="B9" s="145"/>
      <c r="C9" s="145"/>
      <c r="D9" s="145"/>
      <c r="E9" s="145"/>
      <c r="F9" s="145"/>
      <c r="G9" s="145"/>
    </row>
    <row r="10" spans="2:7" x14ac:dyDescent="0.25">
      <c r="B10" s="135" t="s">
        <v>444</v>
      </c>
      <c r="C10" s="135"/>
      <c r="D10" s="135"/>
      <c r="E10" s="135"/>
      <c r="F10" s="135"/>
      <c r="G10" s="135"/>
    </row>
    <row r="11" spans="2:7" ht="15.75" x14ac:dyDescent="0.25">
      <c r="B11" s="147" t="s">
        <v>552</v>
      </c>
      <c r="C11" s="147"/>
      <c r="D11" s="147"/>
      <c r="E11" s="147"/>
      <c r="F11" s="147"/>
      <c r="G11" s="147"/>
    </row>
    <row r="12" spans="2:7" ht="15" customHeight="1" x14ac:dyDescent="0.3">
      <c r="B12" s="144" t="s">
        <v>397</v>
      </c>
      <c r="C12" s="144"/>
      <c r="D12" s="144"/>
      <c r="E12" s="144"/>
      <c r="F12" s="144"/>
      <c r="G12" s="144"/>
    </row>
    <row r="13" spans="2:7" ht="15" customHeight="1" x14ac:dyDescent="0.3">
      <c r="B13" s="144" t="s">
        <v>553</v>
      </c>
      <c r="C13" s="144"/>
      <c r="D13" s="144"/>
      <c r="E13" s="144"/>
      <c r="F13" s="144"/>
      <c r="G13" s="144"/>
    </row>
    <row r="14" spans="2:7" ht="16.5" x14ac:dyDescent="0.3">
      <c r="B14" s="144" t="s">
        <v>398</v>
      </c>
      <c r="C14" s="144"/>
      <c r="D14" s="144"/>
      <c r="E14" s="144"/>
      <c r="F14" s="144"/>
      <c r="G14" s="144"/>
    </row>
    <row r="15" spans="2:7" x14ac:dyDescent="0.25">
      <c r="B15" s="135" t="s">
        <v>444</v>
      </c>
      <c r="C15" s="135"/>
      <c r="D15" s="135"/>
      <c r="E15" s="135"/>
      <c r="F15" s="135"/>
      <c r="G15" s="135"/>
    </row>
    <row r="16" spans="2:7" ht="19.5" x14ac:dyDescent="0.35">
      <c r="B16" s="139" t="s">
        <v>590</v>
      </c>
      <c r="C16" s="139"/>
      <c r="D16" s="139"/>
      <c r="E16" s="139"/>
      <c r="F16" s="139"/>
      <c r="G16" s="139"/>
    </row>
    <row r="17" spans="2:10" ht="15" customHeight="1" x14ac:dyDescent="0.25">
      <c r="B17" s="129"/>
      <c r="C17" s="129"/>
      <c r="D17" s="129"/>
      <c r="E17" s="129"/>
      <c r="F17" s="129"/>
      <c r="G17" s="129"/>
    </row>
    <row r="18" spans="2:10" ht="15.75" x14ac:dyDescent="0.3">
      <c r="B18" s="61" t="s">
        <v>451</v>
      </c>
      <c r="C18" s="138">
        <v>45433</v>
      </c>
      <c r="D18" s="138"/>
      <c r="E18" s="138"/>
      <c r="F18" s="138"/>
      <c r="G18" s="138"/>
    </row>
    <row r="19" spans="2:10" ht="15.75" x14ac:dyDescent="0.3">
      <c r="B19" s="61" t="s">
        <v>452</v>
      </c>
      <c r="C19" s="140">
        <v>45433.713314236113</v>
      </c>
      <c r="D19" s="140"/>
      <c r="E19" s="140"/>
      <c r="F19" s="140"/>
      <c r="G19" s="140"/>
    </row>
    <row r="20" spans="2:10" ht="15.75" x14ac:dyDescent="0.3">
      <c r="B20" s="61" t="s">
        <v>450</v>
      </c>
      <c r="C20" s="138">
        <v>45433</v>
      </c>
      <c r="D20" s="138"/>
      <c r="E20" s="138"/>
      <c r="F20" s="138"/>
      <c r="G20" s="138"/>
    </row>
    <row r="21" spans="2:10" x14ac:dyDescent="0.25">
      <c r="B21" s="136" t="s">
        <v>445</v>
      </c>
      <c r="C21" s="136"/>
      <c r="D21" s="136"/>
      <c r="E21" s="136"/>
      <c r="F21" s="136"/>
      <c r="G21" s="136"/>
      <c r="H21" s="30"/>
      <c r="I21" s="31"/>
      <c r="J21" s="32"/>
    </row>
    <row r="22" spans="2:10" ht="15.75" x14ac:dyDescent="0.3">
      <c r="B22" s="61" t="s">
        <v>446</v>
      </c>
      <c r="C22" s="130" t="s">
        <v>548</v>
      </c>
      <c r="D22" s="130"/>
      <c r="E22" s="130"/>
      <c r="F22" s="130"/>
      <c r="G22" s="130"/>
      <c r="H22" s="30"/>
      <c r="I22" s="31"/>
      <c r="J22" s="32"/>
    </row>
    <row r="23" spans="2:10" ht="15.75" x14ac:dyDescent="0.3">
      <c r="B23" s="61" t="s">
        <v>447</v>
      </c>
      <c r="C23" s="130">
        <v>1234788444</v>
      </c>
      <c r="D23" s="130"/>
      <c r="E23" s="130"/>
      <c r="F23" s="130"/>
      <c r="G23" s="130"/>
      <c r="H23" s="30"/>
      <c r="I23" s="31"/>
      <c r="J23" s="32"/>
    </row>
    <row r="24" spans="2:10" ht="15.75" x14ac:dyDescent="0.3">
      <c r="B24" s="61" t="s">
        <v>448</v>
      </c>
      <c r="C24" s="130" t="s">
        <v>401</v>
      </c>
      <c r="D24" s="130"/>
      <c r="E24" s="130"/>
      <c r="F24" s="130"/>
      <c r="G24" s="130"/>
      <c r="H24" s="30"/>
      <c r="I24" s="31"/>
      <c r="J24" s="32"/>
    </row>
    <row r="25" spans="2:10" ht="15.75" x14ac:dyDescent="0.3">
      <c r="B25" s="61" t="s">
        <v>449</v>
      </c>
      <c r="C25" s="130">
        <v>3138562603</v>
      </c>
      <c r="D25" s="130"/>
      <c r="E25" s="130"/>
      <c r="F25" s="130"/>
      <c r="G25" s="130"/>
    </row>
    <row r="26" spans="2:10" ht="15.75" x14ac:dyDescent="0.3">
      <c r="B26" s="61" t="s">
        <v>554</v>
      </c>
      <c r="C26" s="130" t="s">
        <v>556</v>
      </c>
      <c r="D26" s="130"/>
      <c r="E26" s="130"/>
      <c r="F26" s="130"/>
      <c r="G26" s="130"/>
    </row>
    <row r="27" spans="2:10" ht="15.75" x14ac:dyDescent="0.3">
      <c r="B27" s="61" t="s">
        <v>453</v>
      </c>
      <c r="C27" s="130" t="s">
        <v>439</v>
      </c>
      <c r="D27" s="130"/>
      <c r="E27" s="130"/>
      <c r="F27" s="130"/>
      <c r="G27" s="130"/>
      <c r="H27" s="30"/>
      <c r="J27" s="32"/>
    </row>
    <row r="28" spans="2:10" x14ac:dyDescent="0.25">
      <c r="B28" s="50"/>
      <c r="C28" s="51"/>
      <c r="D28" s="51"/>
      <c r="E28" s="51"/>
      <c r="F28" s="51"/>
      <c r="G28" s="52"/>
    </row>
    <row r="29" spans="2:10" ht="16.5" thickBot="1" x14ac:dyDescent="0.3">
      <c r="B29" s="53" t="s">
        <v>555</v>
      </c>
      <c r="C29" s="53"/>
      <c r="D29" s="53"/>
      <c r="E29" s="132" t="s">
        <v>440</v>
      </c>
      <c r="F29" s="132"/>
      <c r="G29" s="132"/>
    </row>
    <row r="30" spans="2:10" ht="15" customHeight="1" x14ac:dyDescent="0.25">
      <c r="B30" s="131"/>
      <c r="C30" s="131"/>
      <c r="D30" s="54"/>
      <c r="E30" s="55"/>
      <c r="F30" s="55"/>
      <c r="G30" s="62"/>
    </row>
    <row r="31" spans="2:10" ht="50.25" customHeight="1" x14ac:dyDescent="0.25">
      <c r="B31" s="131" t="s">
        <v>587</v>
      </c>
      <c r="C31" s="131"/>
      <c r="D31" s="54"/>
      <c r="E31" s="55"/>
      <c r="F31" s="55"/>
      <c r="G31" s="62">
        <v>7132.7</v>
      </c>
    </row>
    <row r="32" spans="2:10" ht="15" customHeight="1" x14ac:dyDescent="0.25">
      <c r="B32" s="84"/>
      <c r="C32" s="84"/>
      <c r="D32" s="54"/>
      <c r="E32" s="55"/>
      <c r="F32" s="55"/>
      <c r="G32" s="62"/>
    </row>
    <row r="33" spans="2:7" ht="50.25" customHeight="1" x14ac:dyDescent="0.25">
      <c r="B33" s="131" t="s">
        <v>588</v>
      </c>
      <c r="C33" s="131"/>
      <c r="D33" s="54"/>
      <c r="E33" s="55"/>
      <c r="F33" s="55"/>
      <c r="G33" s="62">
        <v>11415.5</v>
      </c>
    </row>
    <row r="34" spans="2:7" ht="15" customHeight="1" x14ac:dyDescent="0.25">
      <c r="B34" s="84"/>
      <c r="C34" s="84"/>
      <c r="D34" s="54"/>
      <c r="E34" s="55"/>
      <c r="F34" s="55"/>
      <c r="G34" s="62"/>
    </row>
    <row r="35" spans="2:7" ht="50.25" customHeight="1" x14ac:dyDescent="0.25">
      <c r="B35" s="131" t="s">
        <v>589</v>
      </c>
      <c r="C35" s="131"/>
      <c r="D35" s="54"/>
      <c r="E35" s="55"/>
      <c r="F35" s="55"/>
      <c r="G35" s="62">
        <v>2734.6</v>
      </c>
    </row>
    <row r="36" spans="2:7" ht="15" customHeight="1" x14ac:dyDescent="0.25">
      <c r="B36" s="84"/>
      <c r="C36" s="84"/>
      <c r="D36" s="54"/>
      <c r="E36" s="55"/>
      <c r="F36" s="55"/>
      <c r="G36" s="62"/>
    </row>
    <row r="37" spans="2:7" ht="20.25" customHeight="1" x14ac:dyDescent="0.25">
      <c r="B37" s="129" t="str">
        <f>_xlfn.CONCAT("SON ", "CUARENTA Y CINCO MIL OCHO CIENTOS", " PESOS" )</f>
        <v>SON CUARENTA Y CINCO MIL OCHO CIENTOS PESOS</v>
      </c>
      <c r="C37" s="129"/>
      <c r="D37" s="129"/>
      <c r="E37" s="129"/>
      <c r="F37" s="129"/>
      <c r="G37" s="129"/>
    </row>
    <row r="38" spans="2:7" ht="20.25" customHeight="1" x14ac:dyDescent="0.25">
      <c r="B38" s="129"/>
      <c r="C38" s="129"/>
      <c r="D38" s="129"/>
      <c r="E38" s="129"/>
      <c r="F38" s="129"/>
      <c r="G38" s="129"/>
    </row>
    <row r="39" spans="2:7" x14ac:dyDescent="0.25">
      <c r="B39" s="50"/>
      <c r="C39" s="51"/>
      <c r="D39" s="51"/>
      <c r="E39" s="51"/>
      <c r="F39" s="51"/>
      <c r="G39" s="52"/>
    </row>
    <row r="40" spans="2:7" ht="19.5" x14ac:dyDescent="0.35">
      <c r="B40" s="128" t="s">
        <v>402</v>
      </c>
      <c r="C40" s="128"/>
      <c r="D40" s="56"/>
      <c r="E40" s="141">
        <v>17253</v>
      </c>
      <c r="F40" s="141"/>
      <c r="G40" s="141"/>
    </row>
    <row r="41" spans="2:7" ht="19.5" x14ac:dyDescent="0.35">
      <c r="B41" s="128" t="s">
        <v>442</v>
      </c>
      <c r="C41" s="128"/>
      <c r="D41" s="56"/>
      <c r="E41" s="142"/>
      <c r="F41" s="142"/>
      <c r="G41" s="142"/>
    </row>
    <row r="42" spans="2:7" ht="19.5" x14ac:dyDescent="0.35">
      <c r="B42" s="128" t="s">
        <v>591</v>
      </c>
      <c r="C42" s="128"/>
      <c r="D42" s="56"/>
      <c r="E42" s="141">
        <v>4047</v>
      </c>
      <c r="F42" s="141"/>
      <c r="G42" s="141"/>
    </row>
    <row r="43" spans="2:7" ht="19.5" x14ac:dyDescent="0.35">
      <c r="B43" s="128" t="s">
        <v>441</v>
      </c>
      <c r="C43" s="128"/>
      <c r="D43" s="56"/>
      <c r="E43" s="142"/>
      <c r="F43" s="142"/>
      <c r="G43" s="142"/>
    </row>
    <row r="44" spans="2:7" ht="19.5" x14ac:dyDescent="0.35">
      <c r="B44" s="128" t="s">
        <v>404</v>
      </c>
      <c r="C44" s="128"/>
      <c r="D44" s="56"/>
      <c r="E44" s="133">
        <v>21300</v>
      </c>
      <c r="F44" s="133"/>
      <c r="G44" s="133"/>
    </row>
    <row r="45" spans="2:7" ht="15.75" x14ac:dyDescent="0.3">
      <c r="B45" s="50"/>
      <c r="C45" s="57"/>
      <c r="D45" s="57"/>
      <c r="E45" s="57"/>
      <c r="F45" s="57"/>
      <c r="G45" s="58"/>
    </row>
    <row r="46" spans="2:7" x14ac:dyDescent="0.25">
      <c r="B46" s="50"/>
      <c r="C46" s="51"/>
      <c r="D46" s="51"/>
      <c r="E46" s="51"/>
      <c r="F46" s="51"/>
      <c r="G46" s="52"/>
    </row>
    <row r="47" spans="2:7" x14ac:dyDescent="0.25">
      <c r="B47" s="136" t="s">
        <v>445</v>
      </c>
      <c r="C47" s="136"/>
      <c r="D47" s="136"/>
      <c r="E47" s="136"/>
      <c r="F47" s="136"/>
      <c r="G47" s="136"/>
    </row>
    <row r="48" spans="2:7" x14ac:dyDescent="0.25">
      <c r="B48" s="134" t="s">
        <v>443</v>
      </c>
      <c r="C48" s="134"/>
      <c r="D48" s="134"/>
      <c r="E48" s="134"/>
      <c r="F48" s="134"/>
      <c r="G48" s="134"/>
    </row>
    <row r="49" spans="2:11" x14ac:dyDescent="0.25">
      <c r="B49" s="134"/>
      <c r="C49" s="134"/>
      <c r="D49" s="134"/>
      <c r="E49" s="134"/>
      <c r="F49" s="134"/>
      <c r="G49" s="134"/>
    </row>
    <row r="50" spans="2:11" x14ac:dyDescent="0.25">
      <c r="B50" s="136" t="s">
        <v>445</v>
      </c>
      <c r="C50" s="137"/>
      <c r="D50" s="137"/>
      <c r="E50" s="137"/>
      <c r="F50" s="137"/>
      <c r="G50" s="137"/>
    </row>
    <row r="51" spans="2:11" x14ac:dyDescent="0.25">
      <c r="B51" s="59"/>
      <c r="C51" s="60"/>
      <c r="D51" s="60"/>
      <c r="E51" s="60"/>
      <c r="F51" s="60"/>
      <c r="G51" s="60"/>
    </row>
    <row r="52" spans="2:11" x14ac:dyDescent="0.25">
      <c r="B52" s="135" t="s">
        <v>444</v>
      </c>
      <c r="C52" s="135"/>
      <c r="D52" s="135"/>
      <c r="E52" s="135"/>
      <c r="F52" s="135"/>
      <c r="G52" s="135"/>
    </row>
    <row r="53" spans="2:11" x14ac:dyDescent="0.25">
      <c r="B53" s="48"/>
      <c r="C53" s="47"/>
      <c r="D53" s="47"/>
      <c r="E53" s="47"/>
      <c r="F53" s="47"/>
      <c r="G53" s="47"/>
    </row>
    <row r="54" spans="2:11" x14ac:dyDescent="0.25">
      <c r="B54" s="48"/>
      <c r="C54" s="47"/>
      <c r="D54" s="47"/>
      <c r="E54" s="47"/>
      <c r="F54" s="47"/>
      <c r="G54" s="47"/>
    </row>
    <row r="56" spans="2:11" ht="16.5" x14ac:dyDescent="0.3">
      <c r="K56" s="27"/>
    </row>
    <row r="57" spans="2:11" ht="16.5" x14ac:dyDescent="0.3">
      <c r="K57" s="27"/>
    </row>
    <row r="58" spans="2:11" ht="16.5" x14ac:dyDescent="0.3">
      <c r="K58" s="27"/>
    </row>
    <row r="59" spans="2:11" ht="16.5" x14ac:dyDescent="0.3">
      <c r="K59" s="27"/>
    </row>
    <row r="60" spans="2:11" ht="16.5" x14ac:dyDescent="0.3">
      <c r="K60" s="27"/>
    </row>
    <row r="61" spans="2:11" ht="16.5" x14ac:dyDescent="0.3">
      <c r="K61" s="27"/>
    </row>
    <row r="62" spans="2:11" ht="16.5" x14ac:dyDescent="0.3">
      <c r="K62" s="27"/>
    </row>
    <row r="63" spans="2:11" ht="16.5" x14ac:dyDescent="0.3">
      <c r="K63" s="27"/>
    </row>
    <row r="64" spans="2:11" ht="16.5" x14ac:dyDescent="0.3">
      <c r="K64" s="27"/>
    </row>
    <row r="65" spans="11:11" ht="16.5" x14ac:dyDescent="0.3">
      <c r="K65" s="27"/>
    </row>
    <row r="66" spans="11:11" ht="16.5" x14ac:dyDescent="0.3">
      <c r="K66" s="27"/>
    </row>
    <row r="67" spans="11:11" ht="16.5" x14ac:dyDescent="0.3">
      <c r="K67" s="27"/>
    </row>
    <row r="68" spans="11:11" ht="16.5" x14ac:dyDescent="0.3">
      <c r="K68" s="27"/>
    </row>
    <row r="69" spans="11:11" ht="16.5" x14ac:dyDescent="0.3">
      <c r="K69" s="27"/>
    </row>
    <row r="70" spans="11:11" ht="16.5" x14ac:dyDescent="0.3">
      <c r="K70" s="27"/>
    </row>
    <row r="71" spans="11:11" ht="16.5" x14ac:dyDescent="0.3">
      <c r="K71" s="27"/>
    </row>
    <row r="72" spans="11:11" ht="16.5" x14ac:dyDescent="0.3">
      <c r="K72" s="27"/>
    </row>
    <row r="73" spans="11:11" ht="16.5" x14ac:dyDescent="0.3">
      <c r="K73" s="27"/>
    </row>
    <row r="74" spans="11:11" ht="16.5" x14ac:dyDescent="0.3">
      <c r="K74" s="27"/>
    </row>
    <row r="75" spans="11:11" ht="16.5" x14ac:dyDescent="0.3">
      <c r="K75" s="27"/>
    </row>
    <row r="76" spans="11:11" ht="16.5" x14ac:dyDescent="0.3">
      <c r="K76" s="27"/>
    </row>
    <row r="77" spans="11:11" ht="16.5" x14ac:dyDescent="0.3">
      <c r="K77" s="27"/>
    </row>
    <row r="78" spans="11:11" ht="16.5" x14ac:dyDescent="0.3">
      <c r="K78" s="27"/>
    </row>
    <row r="79" spans="11:11" ht="16.5" x14ac:dyDescent="0.3">
      <c r="K79" s="27"/>
    </row>
    <row r="80" spans="11:11" ht="16.5" x14ac:dyDescent="0.3">
      <c r="K80" s="27"/>
    </row>
    <row r="81" spans="11:11" ht="16.5" x14ac:dyDescent="0.3">
      <c r="K81" s="27"/>
    </row>
    <row r="82" spans="11:11" ht="16.5" x14ac:dyDescent="0.3">
      <c r="K82" s="27"/>
    </row>
    <row r="83" spans="11:11" ht="16.5" x14ac:dyDescent="0.3">
      <c r="K83" s="27"/>
    </row>
    <row r="84" spans="11:11" ht="16.5" x14ac:dyDescent="0.3">
      <c r="K84" s="27"/>
    </row>
    <row r="85" spans="11:11" ht="16.5" x14ac:dyDescent="0.3">
      <c r="K85" s="27"/>
    </row>
    <row r="86" spans="11:11" ht="16.5" x14ac:dyDescent="0.3">
      <c r="K86" s="27"/>
    </row>
    <row r="87" spans="11:11" ht="16.5" x14ac:dyDescent="0.3">
      <c r="K87" s="27"/>
    </row>
    <row r="88" spans="11:11" ht="16.5" x14ac:dyDescent="0.3">
      <c r="K88" s="27"/>
    </row>
    <row r="89" spans="11:11" ht="16.5" x14ac:dyDescent="0.3">
      <c r="K89" s="27"/>
    </row>
    <row r="90" spans="11:11" ht="16.5" x14ac:dyDescent="0.3">
      <c r="K90" s="27"/>
    </row>
    <row r="91" spans="11:11" ht="16.5" x14ac:dyDescent="0.3">
      <c r="K91" s="27"/>
    </row>
    <row r="92" spans="11:11" ht="16.5" x14ac:dyDescent="0.3">
      <c r="K92" s="27"/>
    </row>
    <row r="93" spans="11:11" ht="15.75" customHeight="1" x14ac:dyDescent="0.25"/>
    <row r="107" ht="50.25" customHeight="1" x14ac:dyDescent="0.25"/>
  </sheetData>
  <mergeCells count="41">
    <mergeCell ref="B3:G3"/>
    <mergeCell ref="B12:G12"/>
    <mergeCell ref="B14:G14"/>
    <mergeCell ref="B10:G10"/>
    <mergeCell ref="B6:G9"/>
    <mergeCell ref="B4:G5"/>
    <mergeCell ref="B11:G11"/>
    <mergeCell ref="B13:G13"/>
    <mergeCell ref="B15:G15"/>
    <mergeCell ref="C18:G18"/>
    <mergeCell ref="B17:G17"/>
    <mergeCell ref="B16:G16"/>
    <mergeCell ref="B21:G21"/>
    <mergeCell ref="C20:G20"/>
    <mergeCell ref="C19:G19"/>
    <mergeCell ref="E44:G44"/>
    <mergeCell ref="B48:G49"/>
    <mergeCell ref="B52:G52"/>
    <mergeCell ref="B41:C41"/>
    <mergeCell ref="B42:C42"/>
    <mergeCell ref="B50:G50"/>
    <mergeCell ref="B47:G47"/>
    <mergeCell ref="B44:C44"/>
    <mergeCell ref="E41:G41"/>
    <mergeCell ref="E42:G42"/>
    <mergeCell ref="E43:G43"/>
    <mergeCell ref="B40:C40"/>
    <mergeCell ref="B43:C43"/>
    <mergeCell ref="B37:G38"/>
    <mergeCell ref="C22:G22"/>
    <mergeCell ref="C23:G23"/>
    <mergeCell ref="B30:C30"/>
    <mergeCell ref="E29:G29"/>
    <mergeCell ref="B31:C31"/>
    <mergeCell ref="C26:G26"/>
    <mergeCell ref="C24:G24"/>
    <mergeCell ref="C25:G25"/>
    <mergeCell ref="C27:G27"/>
    <mergeCell ref="B33:C33"/>
    <mergeCell ref="B35:C35"/>
    <mergeCell ref="E40:G40"/>
  </mergeCells>
  <phoneticPr fontId="1" type="noConversion"/>
  <pageMargins left="0" right="0" top="0" bottom="0" header="0" footer="0"/>
  <pageSetup scale="50" fitToHeight="0"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EA43B-5FF6-4A73-A340-7750EF99BD96}">
  <sheetPr codeName="Sheet11"/>
  <dimension ref="A1:G3"/>
  <sheetViews>
    <sheetView workbookViewId="0">
      <selection activeCell="C3" sqref="C3"/>
    </sheetView>
  </sheetViews>
  <sheetFormatPr defaultRowHeight="15" x14ac:dyDescent="0.25"/>
  <cols>
    <col min="1" max="1" width="13.42578125" bestFit="1" customWidth="1"/>
    <col min="2" max="2" width="30" bestFit="1" customWidth="1"/>
    <col min="3" max="3" width="30" customWidth="1"/>
    <col min="4" max="4" width="13.28515625" bestFit="1" customWidth="1"/>
    <col min="5" max="5" width="18" bestFit="1" customWidth="1"/>
    <col min="6" max="6" width="12.28515625" customWidth="1"/>
    <col min="7" max="7" width="26" bestFit="1" customWidth="1"/>
  </cols>
  <sheetData>
    <row r="1" spans="1:7" x14ac:dyDescent="0.25">
      <c r="A1" t="s">
        <v>544</v>
      </c>
      <c r="B1" t="s">
        <v>545</v>
      </c>
      <c r="C1" t="s">
        <v>551</v>
      </c>
      <c r="D1" t="s">
        <v>546</v>
      </c>
      <c r="E1" t="s">
        <v>575</v>
      </c>
      <c r="F1" t="s">
        <v>547</v>
      </c>
      <c r="G1" t="s">
        <v>574</v>
      </c>
    </row>
    <row r="2" spans="1:7" x14ac:dyDescent="0.25">
      <c r="A2" s="82" t="s">
        <v>582</v>
      </c>
      <c r="B2" s="82" t="s">
        <v>582</v>
      </c>
      <c r="C2" t="s">
        <v>581</v>
      </c>
      <c r="D2" s="82" t="s">
        <v>582</v>
      </c>
      <c r="E2" s="82" t="s">
        <v>582</v>
      </c>
      <c r="F2" s="82" t="s">
        <v>582</v>
      </c>
      <c r="G2" s="82" t="s">
        <v>582</v>
      </c>
    </row>
    <row r="3" spans="1:7" x14ac:dyDescent="0.25">
      <c r="A3" t="s">
        <v>548</v>
      </c>
      <c r="B3" t="s">
        <v>549</v>
      </c>
      <c r="C3">
        <v>1234788444</v>
      </c>
      <c r="D3" t="s">
        <v>550</v>
      </c>
      <c r="E3" t="s">
        <v>565</v>
      </c>
      <c r="F3">
        <v>3138562603</v>
      </c>
      <c r="G3" t="s">
        <v>401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45AF0-1880-4543-A15E-4C7F952AB1DE}">
  <sheetPr codeName="Sheet1"/>
  <dimension ref="A1:N97"/>
  <sheetViews>
    <sheetView showGridLines="0" showRowColHeaders="0" zoomScale="115" zoomScaleNormal="115" workbookViewId="0">
      <selection activeCell="K19" sqref="K19"/>
    </sheetView>
  </sheetViews>
  <sheetFormatPr defaultRowHeight="15" x14ac:dyDescent="0.25"/>
  <cols>
    <col min="1" max="1" width="2.28515625" customWidth="1"/>
    <col min="2" max="2" width="20.5703125" customWidth="1"/>
    <col min="3" max="3" width="2.5703125" customWidth="1"/>
    <col min="4" max="4" width="16.28515625" bestFit="1" customWidth="1"/>
    <col min="5" max="5" width="46.85546875" bestFit="1" customWidth="1"/>
    <col min="6" max="6" width="11" bestFit="1" customWidth="1"/>
    <col min="7" max="7" width="3.7109375" customWidth="1"/>
    <col min="8" max="8" width="27.85546875" customWidth="1"/>
    <col min="9" max="9" width="3.7109375" customWidth="1"/>
    <col min="10" max="10" width="14.140625" bestFit="1" customWidth="1"/>
    <col min="11" max="11" width="14.85546875" bestFit="1" customWidth="1"/>
    <col min="12" max="12" width="18.5703125" bestFit="1" customWidth="1"/>
    <col min="13" max="13" width="32.42578125" customWidth="1"/>
    <col min="14" max="14" width="15.85546875" bestFit="1" customWidth="1"/>
    <col min="15" max="19" width="18.5703125" bestFit="1" customWidth="1"/>
    <col min="20" max="20" width="11.28515625" bestFit="1" customWidth="1"/>
  </cols>
  <sheetData>
    <row r="1" spans="1:14" s="148" customFormat="1" x14ac:dyDescent="0.25">
      <c r="A1" s="148" t="s">
        <v>374</v>
      </c>
    </row>
    <row r="2" spans="1:14" s="148" customFormat="1" x14ac:dyDescent="0.25"/>
    <row r="3" spans="1:14" s="148" customFormat="1" x14ac:dyDescent="0.25"/>
    <row r="4" spans="1:14" s="23" customFormat="1" ht="9.9499999999999993" customHeight="1" x14ac:dyDescent="0.25"/>
    <row r="5" spans="1:14" s="23" customFormat="1" ht="28.5" x14ac:dyDescent="0.25">
      <c r="D5" s="149" t="s">
        <v>376</v>
      </c>
      <c r="E5" s="149"/>
      <c r="F5" s="149"/>
      <c r="J5" s="149" t="s">
        <v>377</v>
      </c>
      <c r="K5" s="149"/>
      <c r="L5" s="149"/>
      <c r="M5" s="149"/>
      <c r="N5" s="149"/>
    </row>
    <row r="6" spans="1:14" ht="9.9499999999999993" customHeight="1" x14ac:dyDescent="0.25"/>
    <row r="7" spans="1:14" ht="16.5" x14ac:dyDescent="0.3">
      <c r="D7" s="45" t="s">
        <v>332</v>
      </c>
      <c r="E7" s="45" t="s">
        <v>334</v>
      </c>
      <c r="F7" s="46" t="s">
        <v>375</v>
      </c>
      <c r="J7" s="16" t="s">
        <v>329</v>
      </c>
      <c r="K7" s="16" t="s">
        <v>330</v>
      </c>
      <c r="L7" s="16" t="s">
        <v>373</v>
      </c>
      <c r="M7" s="16" t="s">
        <v>334</v>
      </c>
      <c r="N7" t="s">
        <v>370</v>
      </c>
    </row>
    <row r="8" spans="1:14" ht="16.5" x14ac:dyDescent="0.3">
      <c r="D8" s="46" t="s">
        <v>9</v>
      </c>
      <c r="E8" s="46" t="s">
        <v>363</v>
      </c>
      <c r="F8" s="46">
        <v>21</v>
      </c>
      <c r="J8" s="4">
        <v>45218</v>
      </c>
      <c r="K8" s="25">
        <v>0.33333333333333331</v>
      </c>
      <c r="L8" t="s">
        <v>372</v>
      </c>
      <c r="M8" t="s">
        <v>357</v>
      </c>
      <c r="N8">
        <v>17</v>
      </c>
    </row>
    <row r="9" spans="1:14" ht="16.5" x14ac:dyDescent="0.3">
      <c r="D9" s="46" t="s">
        <v>11</v>
      </c>
      <c r="E9" s="46" t="s">
        <v>360</v>
      </c>
      <c r="F9" s="46">
        <v>55</v>
      </c>
      <c r="J9" s="4">
        <v>45329</v>
      </c>
      <c r="K9" s="25">
        <v>0.50319444444444439</v>
      </c>
      <c r="L9" t="s">
        <v>372</v>
      </c>
      <c r="M9" t="s">
        <v>357</v>
      </c>
      <c r="N9">
        <v>-2</v>
      </c>
    </row>
    <row r="10" spans="1:14" ht="16.5" x14ac:dyDescent="0.3">
      <c r="D10" s="46" t="s">
        <v>11</v>
      </c>
      <c r="E10" s="46" t="s">
        <v>363</v>
      </c>
      <c r="F10" s="46">
        <v>-20</v>
      </c>
      <c r="J10" s="4">
        <v>45329</v>
      </c>
      <c r="K10" s="25">
        <v>0.50603009259259257</v>
      </c>
      <c r="L10" t="s">
        <v>372</v>
      </c>
      <c r="M10" t="s">
        <v>357</v>
      </c>
      <c r="N10">
        <v>-60</v>
      </c>
    </row>
    <row r="11" spans="1:14" ht="16.5" x14ac:dyDescent="0.3">
      <c r="D11" s="46" t="s">
        <v>13</v>
      </c>
      <c r="E11" s="46" t="s">
        <v>352</v>
      </c>
      <c r="F11" s="46">
        <v>51</v>
      </c>
      <c r="J11" t="s">
        <v>369</v>
      </c>
      <c r="N11">
        <v>-45</v>
      </c>
    </row>
    <row r="12" spans="1:14" ht="16.5" x14ac:dyDescent="0.3">
      <c r="D12" s="46" t="s">
        <v>15</v>
      </c>
      <c r="E12" s="46" t="s">
        <v>346</v>
      </c>
      <c r="F12" s="46">
        <v>0</v>
      </c>
    </row>
    <row r="13" spans="1:14" ht="16.5" x14ac:dyDescent="0.3">
      <c r="D13" s="46" t="s">
        <v>16</v>
      </c>
      <c r="E13" s="46" t="s">
        <v>349</v>
      </c>
      <c r="F13" s="46">
        <v>32</v>
      </c>
    </row>
    <row r="14" spans="1:14" ht="16.5" x14ac:dyDescent="0.3">
      <c r="D14" s="46" t="s">
        <v>17</v>
      </c>
      <c r="E14" s="46" t="s">
        <v>366</v>
      </c>
      <c r="F14" s="46">
        <v>10</v>
      </c>
    </row>
    <row r="15" spans="1:14" ht="16.5" x14ac:dyDescent="0.3">
      <c r="D15" s="46" t="s">
        <v>18</v>
      </c>
      <c r="E15" s="46" t="s">
        <v>357</v>
      </c>
      <c r="F15" s="46">
        <v>-45</v>
      </c>
    </row>
    <row r="16" spans="1:14" ht="16.5" x14ac:dyDescent="0.3">
      <c r="D16" s="46" t="s">
        <v>19</v>
      </c>
      <c r="E16" s="46" t="s">
        <v>355</v>
      </c>
      <c r="F16" s="46">
        <v>21</v>
      </c>
    </row>
    <row r="17" spans="2:6" ht="16.5" x14ac:dyDescent="0.3">
      <c r="D17" s="46" t="s">
        <v>27</v>
      </c>
      <c r="E17" s="46" t="s">
        <v>365</v>
      </c>
      <c r="F17" s="46">
        <v>9</v>
      </c>
    </row>
    <row r="18" spans="2:6" ht="16.5" x14ac:dyDescent="0.3">
      <c r="D18" s="46" t="s">
        <v>29</v>
      </c>
      <c r="E18" s="46" t="s">
        <v>362</v>
      </c>
      <c r="F18" s="46">
        <v>0</v>
      </c>
    </row>
    <row r="19" spans="2:6" ht="16.5" x14ac:dyDescent="0.3">
      <c r="D19" s="46" t="s">
        <v>30</v>
      </c>
      <c r="E19" s="46" t="s">
        <v>354</v>
      </c>
      <c r="F19" s="46">
        <v>35</v>
      </c>
    </row>
    <row r="20" spans="2:6" ht="16.5" x14ac:dyDescent="0.3">
      <c r="D20" s="46" t="s">
        <v>31</v>
      </c>
      <c r="E20" s="46" t="s">
        <v>348</v>
      </c>
      <c r="F20" s="46">
        <v>4</v>
      </c>
    </row>
    <row r="21" spans="2:6" ht="16.5" x14ac:dyDescent="0.3">
      <c r="D21" s="46" t="s">
        <v>32</v>
      </c>
      <c r="E21" s="46" t="s">
        <v>351</v>
      </c>
      <c r="F21" s="46">
        <v>21</v>
      </c>
    </row>
    <row r="22" spans="2:6" ht="16.5" x14ac:dyDescent="0.3">
      <c r="D22" s="46" t="s">
        <v>33</v>
      </c>
      <c r="E22" s="46" t="s">
        <v>368</v>
      </c>
      <c r="F22" s="46">
        <v>14</v>
      </c>
    </row>
    <row r="23" spans="2:6" ht="16.5" x14ac:dyDescent="0.3">
      <c r="B23" t="s">
        <v>230</v>
      </c>
      <c r="D23" s="46" t="s">
        <v>34</v>
      </c>
      <c r="E23" s="46" t="s">
        <v>359</v>
      </c>
      <c r="F23" s="46">
        <v>12</v>
      </c>
    </row>
    <row r="24" spans="2:6" ht="16.5" x14ac:dyDescent="0.3">
      <c r="D24" s="46" t="s">
        <v>35</v>
      </c>
      <c r="E24" s="46" t="s">
        <v>356</v>
      </c>
      <c r="F24" s="46">
        <v>0</v>
      </c>
    </row>
    <row r="25" spans="2:6" ht="16.5" x14ac:dyDescent="0.3">
      <c r="D25" s="46" t="s">
        <v>44</v>
      </c>
      <c r="E25" s="46" t="s">
        <v>364</v>
      </c>
      <c r="F25" s="46">
        <v>15</v>
      </c>
    </row>
    <row r="26" spans="2:6" ht="16.5" x14ac:dyDescent="0.3">
      <c r="D26" s="46" t="s">
        <v>45</v>
      </c>
      <c r="E26" s="46" t="s">
        <v>361</v>
      </c>
      <c r="F26" s="46">
        <v>8</v>
      </c>
    </row>
    <row r="27" spans="2:6" ht="16.5" x14ac:dyDescent="0.3">
      <c r="D27" s="46" t="s">
        <v>46</v>
      </c>
      <c r="E27" s="46" t="s">
        <v>353</v>
      </c>
      <c r="F27" s="46">
        <v>46</v>
      </c>
    </row>
    <row r="28" spans="2:6" ht="16.5" x14ac:dyDescent="0.3">
      <c r="D28" s="46" t="s">
        <v>47</v>
      </c>
      <c r="E28" s="46" t="s">
        <v>347</v>
      </c>
      <c r="F28" s="46">
        <v>15</v>
      </c>
    </row>
    <row r="29" spans="2:6" ht="16.5" x14ac:dyDescent="0.3">
      <c r="D29" s="46" t="s">
        <v>48</v>
      </c>
      <c r="E29" s="46" t="s">
        <v>350</v>
      </c>
      <c r="F29" s="46">
        <v>14</v>
      </c>
    </row>
    <row r="30" spans="2:6" ht="16.5" x14ac:dyDescent="0.3">
      <c r="D30" s="46" t="s">
        <v>49</v>
      </c>
      <c r="E30" s="46" t="s">
        <v>367</v>
      </c>
      <c r="F30" s="46">
        <v>15</v>
      </c>
    </row>
    <row r="31" spans="2:6" ht="16.5" x14ac:dyDescent="0.3">
      <c r="D31" s="46" t="s">
        <v>50</v>
      </c>
      <c r="E31" s="46" t="s">
        <v>358</v>
      </c>
      <c r="F31" s="46">
        <v>13</v>
      </c>
    </row>
    <row r="32" spans="2:6" ht="16.5" x14ac:dyDescent="0.3">
      <c r="D32" s="46" t="s">
        <v>61</v>
      </c>
      <c r="E32" s="46" t="s">
        <v>341</v>
      </c>
      <c r="F32" s="46">
        <v>126</v>
      </c>
    </row>
    <row r="33" spans="4:6" ht="16.5" x14ac:dyDescent="0.3">
      <c r="D33" s="46" t="s">
        <v>62</v>
      </c>
      <c r="E33" s="46" t="s">
        <v>340</v>
      </c>
      <c r="F33" s="46">
        <v>26</v>
      </c>
    </row>
    <row r="34" spans="4:6" ht="16.5" x14ac:dyDescent="0.3">
      <c r="D34" s="46" t="s">
        <v>63</v>
      </c>
      <c r="E34" s="46" t="s">
        <v>339</v>
      </c>
      <c r="F34" s="46">
        <v>32</v>
      </c>
    </row>
    <row r="35" spans="4:6" ht="16.5" x14ac:dyDescent="0.3">
      <c r="D35" s="46" t="s">
        <v>64</v>
      </c>
      <c r="E35" s="46" t="s">
        <v>336</v>
      </c>
      <c r="F35" s="46">
        <v>30</v>
      </c>
    </row>
    <row r="36" spans="4:6" ht="16.5" x14ac:dyDescent="0.3">
      <c r="D36" s="46" t="s">
        <v>65</v>
      </c>
      <c r="E36" s="46" t="s">
        <v>75</v>
      </c>
      <c r="F36" s="46">
        <v>28</v>
      </c>
    </row>
    <row r="37" spans="4:6" ht="16.5" x14ac:dyDescent="0.3">
      <c r="D37" s="46" t="s">
        <v>66</v>
      </c>
      <c r="E37" s="46" t="s">
        <v>74</v>
      </c>
      <c r="F37" s="46">
        <v>19</v>
      </c>
    </row>
    <row r="38" spans="4:6" ht="16.5" x14ac:dyDescent="0.3">
      <c r="D38" s="46" t="s">
        <v>67</v>
      </c>
      <c r="E38" s="46" t="s">
        <v>78</v>
      </c>
      <c r="F38" s="46">
        <v>4</v>
      </c>
    </row>
    <row r="39" spans="4:6" ht="16.5" x14ac:dyDescent="0.3">
      <c r="D39" s="46" t="s">
        <v>80</v>
      </c>
      <c r="E39" s="46" t="s">
        <v>345</v>
      </c>
      <c r="F39" s="46">
        <v>127</v>
      </c>
    </row>
    <row r="40" spans="4:6" ht="16.5" x14ac:dyDescent="0.3">
      <c r="D40" s="46" t="s">
        <v>81</v>
      </c>
      <c r="E40" s="46" t="s">
        <v>344</v>
      </c>
      <c r="F40" s="46">
        <v>16</v>
      </c>
    </row>
    <row r="41" spans="4:6" ht="16.5" x14ac:dyDescent="0.3">
      <c r="D41" s="46" t="s">
        <v>82</v>
      </c>
      <c r="E41" s="46" t="s">
        <v>343</v>
      </c>
      <c r="F41" s="46">
        <v>39</v>
      </c>
    </row>
    <row r="42" spans="4:6" ht="16.5" x14ac:dyDescent="0.3">
      <c r="D42" s="46" t="s">
        <v>83</v>
      </c>
      <c r="E42" s="46" t="s">
        <v>342</v>
      </c>
      <c r="F42" s="46">
        <v>16</v>
      </c>
    </row>
    <row r="43" spans="4:6" ht="16.5" x14ac:dyDescent="0.3">
      <c r="D43" s="46" t="s">
        <v>84</v>
      </c>
      <c r="E43" s="46" t="s">
        <v>91</v>
      </c>
      <c r="F43" s="46">
        <v>39</v>
      </c>
    </row>
    <row r="44" spans="4:6" ht="16.5" x14ac:dyDescent="0.3">
      <c r="D44" s="46" t="s">
        <v>85</v>
      </c>
      <c r="E44" s="46" t="s">
        <v>92</v>
      </c>
      <c r="F44" s="46">
        <v>16</v>
      </c>
    </row>
    <row r="45" spans="4:6" ht="16.5" x14ac:dyDescent="0.3">
      <c r="D45" s="46" t="s">
        <v>86</v>
      </c>
      <c r="E45" s="46" t="s">
        <v>93</v>
      </c>
      <c r="F45" s="46">
        <v>37</v>
      </c>
    </row>
    <row r="46" spans="4:6" ht="16.5" x14ac:dyDescent="0.3">
      <c r="D46" s="46" t="s">
        <v>96</v>
      </c>
      <c r="E46" s="46" t="s">
        <v>73</v>
      </c>
      <c r="F46" s="46">
        <v>39</v>
      </c>
    </row>
    <row r="47" spans="4:6" ht="16.5" x14ac:dyDescent="0.3">
      <c r="D47" s="46" t="s">
        <v>97</v>
      </c>
      <c r="E47" s="46" t="s">
        <v>338</v>
      </c>
      <c r="F47" s="46">
        <v>17</v>
      </c>
    </row>
    <row r="48" spans="4:6" ht="16.5" x14ac:dyDescent="0.3">
      <c r="D48" s="46" t="s">
        <v>98</v>
      </c>
      <c r="E48" s="46" t="s">
        <v>337</v>
      </c>
      <c r="F48" s="46">
        <v>23</v>
      </c>
    </row>
    <row r="49" spans="4:6" ht="16.5" x14ac:dyDescent="0.3">
      <c r="D49" s="46" t="s">
        <v>101</v>
      </c>
      <c r="E49" s="46" t="s">
        <v>102</v>
      </c>
      <c r="F49" s="46">
        <v>24</v>
      </c>
    </row>
    <row r="50" spans="4:6" ht="16.5" x14ac:dyDescent="0.3">
      <c r="D50" s="46" t="s">
        <v>107</v>
      </c>
      <c r="E50" s="46" t="s">
        <v>103</v>
      </c>
      <c r="F50" s="46">
        <v>67</v>
      </c>
    </row>
    <row r="51" spans="4:6" ht="16.5" x14ac:dyDescent="0.3">
      <c r="D51" s="46" t="s">
        <v>108</v>
      </c>
      <c r="E51" s="46" t="s">
        <v>104</v>
      </c>
      <c r="F51" s="46">
        <v>73</v>
      </c>
    </row>
    <row r="52" spans="4:6" ht="16.5" x14ac:dyDescent="0.3">
      <c r="D52" s="46" t="s">
        <v>109</v>
      </c>
      <c r="E52" s="46" t="s">
        <v>105</v>
      </c>
      <c r="F52" s="46">
        <v>36</v>
      </c>
    </row>
    <row r="53" spans="4:6" ht="16.5" x14ac:dyDescent="0.3">
      <c r="D53" s="46" t="s">
        <v>110</v>
      </c>
      <c r="E53" s="46" t="s">
        <v>106</v>
      </c>
      <c r="F53" s="46">
        <v>20</v>
      </c>
    </row>
    <row r="54" spans="4:6" ht="16.5" x14ac:dyDescent="0.3">
      <c r="D54" s="46" t="s">
        <v>114</v>
      </c>
      <c r="E54" s="46" t="s">
        <v>115</v>
      </c>
      <c r="F54" s="46">
        <v>27</v>
      </c>
    </row>
    <row r="55" spans="4:6" ht="16.5" x14ac:dyDescent="0.3">
      <c r="D55" s="46" t="s">
        <v>119</v>
      </c>
      <c r="E55" s="46" t="s">
        <v>116</v>
      </c>
      <c r="F55" s="46">
        <v>9</v>
      </c>
    </row>
    <row r="56" spans="4:6" ht="16.5" x14ac:dyDescent="0.3">
      <c r="D56" s="46" t="s">
        <v>120</v>
      </c>
      <c r="E56" s="46" t="s">
        <v>117</v>
      </c>
      <c r="F56" s="46">
        <v>2</v>
      </c>
    </row>
    <row r="57" spans="4:6" ht="16.5" x14ac:dyDescent="0.3">
      <c r="D57" s="46" t="s">
        <v>121</v>
      </c>
      <c r="E57" s="46" t="s">
        <v>118</v>
      </c>
      <c r="F57" s="46">
        <v>2</v>
      </c>
    </row>
    <row r="58" spans="4:6" ht="16.5" x14ac:dyDescent="0.3">
      <c r="D58" s="46" t="s">
        <v>124</v>
      </c>
      <c r="E58" s="46" t="s">
        <v>122</v>
      </c>
      <c r="F58" s="46">
        <v>39</v>
      </c>
    </row>
    <row r="59" spans="4:6" ht="16.5" x14ac:dyDescent="0.3">
      <c r="D59" s="46" t="s">
        <v>134</v>
      </c>
      <c r="E59" s="46" t="s">
        <v>128</v>
      </c>
      <c r="F59" s="46">
        <v>-59</v>
      </c>
    </row>
    <row r="60" spans="4:6" ht="16.5" x14ac:dyDescent="0.3">
      <c r="D60" s="46" t="s">
        <v>135</v>
      </c>
      <c r="E60" s="46" t="s">
        <v>129</v>
      </c>
      <c r="F60" s="46">
        <v>5</v>
      </c>
    </row>
    <row r="61" spans="4:6" ht="16.5" x14ac:dyDescent="0.3">
      <c r="D61" s="46" t="s">
        <v>136</v>
      </c>
      <c r="E61" s="46" t="s">
        <v>130</v>
      </c>
      <c r="F61" s="46">
        <v>30</v>
      </c>
    </row>
    <row r="62" spans="4:6" ht="16.5" x14ac:dyDescent="0.3">
      <c r="D62" s="46" t="s">
        <v>137</v>
      </c>
      <c r="E62" s="46" t="s">
        <v>131</v>
      </c>
      <c r="F62" s="46">
        <v>9</v>
      </c>
    </row>
    <row r="63" spans="4:6" ht="16.5" x14ac:dyDescent="0.3">
      <c r="D63" s="46" t="s">
        <v>138</v>
      </c>
      <c r="E63" s="46" t="s">
        <v>142</v>
      </c>
      <c r="F63" s="46">
        <v>4</v>
      </c>
    </row>
    <row r="64" spans="4:6" ht="16.5" x14ac:dyDescent="0.3">
      <c r="D64" s="46" t="s">
        <v>139</v>
      </c>
      <c r="E64" s="46" t="s">
        <v>143</v>
      </c>
      <c r="F64" s="46">
        <v>5</v>
      </c>
    </row>
    <row r="65" spans="4:6" ht="16.5" x14ac:dyDescent="0.3">
      <c r="D65" s="46" t="s">
        <v>140</v>
      </c>
      <c r="E65" s="46" t="s">
        <v>144</v>
      </c>
      <c r="F65" s="46">
        <v>13</v>
      </c>
    </row>
    <row r="66" spans="4:6" ht="16.5" x14ac:dyDescent="0.3">
      <c r="D66" s="46" t="s">
        <v>141</v>
      </c>
      <c r="E66" s="46" t="s">
        <v>145</v>
      </c>
      <c r="F66" s="46">
        <v>2</v>
      </c>
    </row>
    <row r="67" spans="4:6" ht="16.5" x14ac:dyDescent="0.3">
      <c r="D67" s="46" t="s">
        <v>147</v>
      </c>
      <c r="E67" s="46" t="s">
        <v>146</v>
      </c>
      <c r="F67" s="46">
        <v>0</v>
      </c>
    </row>
    <row r="68" spans="4:6" ht="16.5" x14ac:dyDescent="0.3">
      <c r="D68" s="46" t="s">
        <v>151</v>
      </c>
      <c r="E68" s="46" t="s">
        <v>150</v>
      </c>
      <c r="F68" s="46">
        <v>53</v>
      </c>
    </row>
    <row r="69" spans="4:6" ht="16.5" x14ac:dyDescent="0.3">
      <c r="D69" s="46" t="s">
        <v>156</v>
      </c>
      <c r="E69" s="46" t="s">
        <v>152</v>
      </c>
      <c r="F69" s="46">
        <v>4</v>
      </c>
    </row>
    <row r="70" spans="4:6" ht="16.5" x14ac:dyDescent="0.3">
      <c r="D70" s="46" t="s">
        <v>157</v>
      </c>
      <c r="E70" s="46" t="s">
        <v>153</v>
      </c>
      <c r="F70" s="46">
        <v>49</v>
      </c>
    </row>
    <row r="71" spans="4:6" ht="16.5" x14ac:dyDescent="0.3">
      <c r="D71" s="46" t="s">
        <v>158</v>
      </c>
      <c r="E71" s="46" t="s">
        <v>154</v>
      </c>
      <c r="F71" s="46">
        <v>3</v>
      </c>
    </row>
    <row r="72" spans="4:6" ht="16.5" x14ac:dyDescent="0.3">
      <c r="D72" s="46" t="s">
        <v>159</v>
      </c>
      <c r="E72" s="46" t="s">
        <v>155</v>
      </c>
      <c r="F72" s="46">
        <v>36</v>
      </c>
    </row>
    <row r="73" spans="4:6" ht="16.5" x14ac:dyDescent="0.3">
      <c r="D73" s="46" t="s">
        <v>164</v>
      </c>
      <c r="E73" s="46" t="s">
        <v>165</v>
      </c>
      <c r="F73" s="46">
        <v>62</v>
      </c>
    </row>
    <row r="74" spans="4:6" ht="16.5" x14ac:dyDescent="0.3">
      <c r="D74" s="46" t="s">
        <v>173</v>
      </c>
      <c r="E74" s="46" t="s">
        <v>166</v>
      </c>
      <c r="F74" s="46">
        <v>0</v>
      </c>
    </row>
    <row r="75" spans="4:6" ht="16.5" x14ac:dyDescent="0.3">
      <c r="D75" s="46" t="s">
        <v>174</v>
      </c>
      <c r="E75" s="46" t="s">
        <v>167</v>
      </c>
      <c r="F75" s="46">
        <v>0</v>
      </c>
    </row>
    <row r="76" spans="4:6" ht="16.5" x14ac:dyDescent="0.3">
      <c r="D76" s="46" t="s">
        <v>175</v>
      </c>
      <c r="E76" s="46" t="s">
        <v>168</v>
      </c>
      <c r="F76" s="46">
        <v>0</v>
      </c>
    </row>
    <row r="77" spans="4:6" ht="16.5" x14ac:dyDescent="0.3">
      <c r="D77" s="46" t="s">
        <v>176</v>
      </c>
      <c r="E77" s="46" t="s">
        <v>169</v>
      </c>
      <c r="F77" s="46">
        <v>61</v>
      </c>
    </row>
    <row r="78" spans="4:6" ht="16.5" x14ac:dyDescent="0.3">
      <c r="D78" s="46" t="s">
        <v>177</v>
      </c>
      <c r="E78" s="46" t="s">
        <v>170</v>
      </c>
      <c r="F78" s="46">
        <v>0</v>
      </c>
    </row>
    <row r="79" spans="4:6" ht="16.5" x14ac:dyDescent="0.3">
      <c r="D79" s="46" t="s">
        <v>178</v>
      </c>
      <c r="E79" s="46" t="s">
        <v>171</v>
      </c>
      <c r="F79" s="46">
        <v>23</v>
      </c>
    </row>
    <row r="80" spans="4:6" ht="16.5" x14ac:dyDescent="0.3">
      <c r="D80" s="46" t="s">
        <v>179</v>
      </c>
      <c r="E80" s="46" t="s">
        <v>172</v>
      </c>
      <c r="F80" s="46">
        <v>32</v>
      </c>
    </row>
    <row r="81" spans="4:6" ht="16.5" x14ac:dyDescent="0.3">
      <c r="D81" s="46" t="s">
        <v>184</v>
      </c>
      <c r="E81" s="46" t="s">
        <v>180</v>
      </c>
      <c r="F81" s="46">
        <v>28</v>
      </c>
    </row>
    <row r="82" spans="4:6" ht="16.5" x14ac:dyDescent="0.3">
      <c r="D82" s="46" t="s">
        <v>220</v>
      </c>
      <c r="E82" s="46" t="s">
        <v>185</v>
      </c>
      <c r="F82" s="46">
        <v>0</v>
      </c>
    </row>
    <row r="83" spans="4:6" ht="16.5" x14ac:dyDescent="0.3">
      <c r="D83" s="46" t="s">
        <v>221</v>
      </c>
      <c r="E83" s="46" t="s">
        <v>186</v>
      </c>
      <c r="F83" s="46">
        <v>13</v>
      </c>
    </row>
    <row r="84" spans="4:6" ht="16.5" x14ac:dyDescent="0.3">
      <c r="D84" s="46" t="s">
        <v>222</v>
      </c>
      <c r="E84" s="46" t="s">
        <v>187</v>
      </c>
      <c r="F84" s="46">
        <v>39</v>
      </c>
    </row>
    <row r="85" spans="4:6" ht="16.5" x14ac:dyDescent="0.3">
      <c r="D85" s="46" t="s">
        <v>190</v>
      </c>
      <c r="E85" s="46" t="s">
        <v>191</v>
      </c>
      <c r="F85" s="46">
        <v>69</v>
      </c>
    </row>
    <row r="86" spans="4:6" ht="16.5" x14ac:dyDescent="0.3">
      <c r="D86" s="46" t="s">
        <v>203</v>
      </c>
      <c r="E86" s="46" t="s">
        <v>192</v>
      </c>
      <c r="F86" s="46">
        <v>67</v>
      </c>
    </row>
    <row r="87" spans="4:6" ht="16.5" x14ac:dyDescent="0.3">
      <c r="D87" s="46" t="s">
        <v>204</v>
      </c>
      <c r="E87" s="46" t="s">
        <v>193</v>
      </c>
      <c r="F87" s="46">
        <v>4</v>
      </c>
    </row>
    <row r="88" spans="4:6" ht="16.5" x14ac:dyDescent="0.3">
      <c r="D88" s="46" t="s">
        <v>205</v>
      </c>
      <c r="E88" s="46" t="s">
        <v>194</v>
      </c>
      <c r="F88" s="46">
        <v>10</v>
      </c>
    </row>
    <row r="89" spans="4:6" ht="16.5" x14ac:dyDescent="0.3">
      <c r="D89" s="46" t="s">
        <v>206</v>
      </c>
      <c r="E89" s="46" t="s">
        <v>195</v>
      </c>
      <c r="F89" s="46">
        <v>15</v>
      </c>
    </row>
    <row r="90" spans="4:6" ht="16.5" x14ac:dyDescent="0.3">
      <c r="D90" s="46" t="s">
        <v>207</v>
      </c>
      <c r="E90" s="46" t="s">
        <v>196</v>
      </c>
      <c r="F90" s="46">
        <v>5</v>
      </c>
    </row>
    <row r="91" spans="4:6" ht="16.5" x14ac:dyDescent="0.3">
      <c r="D91" s="46" t="s">
        <v>208</v>
      </c>
      <c r="E91" s="46" t="s">
        <v>197</v>
      </c>
      <c r="F91" s="46">
        <v>4</v>
      </c>
    </row>
    <row r="92" spans="4:6" ht="16.5" x14ac:dyDescent="0.3">
      <c r="D92" s="46" t="s">
        <v>209</v>
      </c>
      <c r="E92" s="46" t="s">
        <v>198</v>
      </c>
      <c r="F92" s="46">
        <v>0</v>
      </c>
    </row>
    <row r="93" spans="4:6" ht="16.5" x14ac:dyDescent="0.3">
      <c r="D93" s="46" t="s">
        <v>210</v>
      </c>
      <c r="E93" s="46" t="s">
        <v>199</v>
      </c>
      <c r="F93" s="46">
        <v>-10</v>
      </c>
    </row>
    <row r="94" spans="4:6" ht="16.5" x14ac:dyDescent="0.3">
      <c r="D94" s="46" t="s">
        <v>211</v>
      </c>
      <c r="E94" s="46" t="s">
        <v>200</v>
      </c>
      <c r="F94" s="46">
        <v>0</v>
      </c>
    </row>
    <row r="95" spans="4:6" ht="16.5" x14ac:dyDescent="0.3">
      <c r="D95" s="46" t="s">
        <v>212</v>
      </c>
      <c r="E95" s="46" t="s">
        <v>201</v>
      </c>
      <c r="F95" s="46">
        <v>0</v>
      </c>
    </row>
    <row r="96" spans="4:6" ht="16.5" x14ac:dyDescent="0.3">
      <c r="D96" s="46" t="s">
        <v>213</v>
      </c>
      <c r="E96" s="46" t="s">
        <v>202</v>
      </c>
      <c r="F96" s="46">
        <v>0</v>
      </c>
    </row>
    <row r="97" spans="4:6" ht="16.5" x14ac:dyDescent="0.3">
      <c r="D97" s="46" t="s">
        <v>369</v>
      </c>
      <c r="E97" s="46"/>
      <c r="F97" s="46">
        <v>1855</v>
      </c>
    </row>
  </sheetData>
  <mergeCells count="3">
    <mergeCell ref="A1:XFD3"/>
    <mergeCell ref="D5:F5"/>
    <mergeCell ref="J5:N5"/>
  </mergeCells>
  <conditionalFormatting pivot="1" sqref="N8:N11">
    <cfRule type="cellIs" dxfId="154" priority="7" operator="greaterThan">
      <formula>0</formula>
    </cfRule>
  </conditionalFormatting>
  <conditionalFormatting pivot="1" sqref="N8:N11">
    <cfRule type="cellIs" dxfId="153" priority="6" operator="lessThan">
      <formula>0</formula>
    </cfRule>
  </conditionalFormatting>
  <conditionalFormatting pivot="1" sqref="N8:N11">
    <cfRule type="cellIs" dxfId="152" priority="5" operator="equal">
      <formula>0</formula>
    </cfRule>
  </conditionalFormatting>
  <pageMargins left="0.7" right="0.7" top="0.75" bottom="0.75" header="0.3" footer="0.3"/>
  <drawing r:id="rId3"/>
  <extLst>
    <ext xmlns:x14="http://schemas.microsoft.com/office/spreadsheetml/2009/9/main" uri="{78C0D931-6437-407d-A8EE-F0AAD7539E65}">
      <x14:conditionalFormattings>
        <x14:conditionalFormatting xmlns:xm="http://schemas.microsoft.com/office/excel/2006/main" pivot="1">
          <x14:cfRule type="iconSet" priority="1" id="{94139F1B-3F06-4B6D-8090-3A1FCE453C68}">
            <x14:iconSet iconSet="3Arrows" custom="1">
              <x14:cfvo type="percent">
                <xm:f>0</xm:f>
              </x14:cfvo>
              <x14:cfvo type="num">
                <xm:f>0</xm:f>
              </x14:cfvo>
              <x14:cfvo type="num" gte="0">
                <xm:f>0</xm:f>
              </x14:cfvo>
              <x14:cfIcon iconSet="3Arrows" iconId="0"/>
              <x14:cfIcon iconSet="3Arrows" iconId="1"/>
              <x14:cfIcon iconSet="3Arrows" iconId="2"/>
            </x14:iconSet>
          </x14:cfRule>
          <xm:sqref>N8:N11</xm:sqref>
        </x14:conditionalFormatting>
      </x14:conditionalFormattings>
    </ex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1DC6A-5A1A-4775-9846-7F5FB604633A}">
  <sheetPr codeName="Sheet9"/>
  <dimension ref="A1:Q41"/>
  <sheetViews>
    <sheetView showGridLines="0" showRowColHeaders="0" zoomScale="120" zoomScaleNormal="120" workbookViewId="0">
      <selection activeCell="D28" sqref="D28"/>
    </sheetView>
  </sheetViews>
  <sheetFormatPr defaultRowHeight="15" x14ac:dyDescent="0.25"/>
  <cols>
    <col min="1" max="1" width="2.28515625" customWidth="1"/>
    <col min="2" max="2" width="20.5703125" customWidth="1"/>
    <col min="3" max="3" width="2.5703125" customWidth="1"/>
    <col min="4" max="4" width="41.42578125" bestFit="1" customWidth="1"/>
    <col min="5" max="5" width="10.42578125" bestFit="1" customWidth="1"/>
    <col min="6" max="6" width="10" bestFit="1" customWidth="1"/>
    <col min="7" max="7" width="2.5703125" customWidth="1"/>
    <col min="8" max="8" width="37.140625" bestFit="1" customWidth="1"/>
    <col min="9" max="9" width="15.5703125" bestFit="1" customWidth="1"/>
    <col min="10" max="10" width="37.140625" bestFit="1" customWidth="1"/>
    <col min="11" max="11" width="15.5703125" bestFit="1" customWidth="1"/>
    <col min="12" max="12" width="18.5703125" bestFit="1" customWidth="1"/>
    <col min="13" max="13" width="8.28515625" customWidth="1"/>
    <col min="14" max="14" width="15.85546875" bestFit="1" customWidth="1"/>
    <col min="15" max="15" width="14" bestFit="1" customWidth="1"/>
    <col min="16" max="16" width="10.42578125" bestFit="1" customWidth="1"/>
    <col min="17" max="17" width="10" bestFit="1" customWidth="1"/>
    <col min="18" max="18" width="10.7109375" bestFit="1" customWidth="1"/>
    <col min="19" max="19" width="9.85546875" bestFit="1" customWidth="1"/>
    <col min="20" max="20" width="10.7109375" bestFit="1" customWidth="1"/>
    <col min="21" max="21" width="9.85546875" bestFit="1" customWidth="1"/>
    <col min="22" max="22" width="10.140625" bestFit="1" customWidth="1"/>
    <col min="23" max="23" width="9.85546875" bestFit="1" customWidth="1"/>
    <col min="24" max="24" width="10.140625" bestFit="1" customWidth="1"/>
    <col min="25" max="25" width="9.85546875" bestFit="1" customWidth="1"/>
    <col min="26" max="26" width="10.140625" bestFit="1" customWidth="1"/>
    <col min="27" max="27" width="9.85546875" bestFit="1" customWidth="1"/>
    <col min="28" max="28" width="15.140625" bestFit="1" customWidth="1"/>
    <col min="29" max="29" width="14.85546875" bestFit="1" customWidth="1"/>
  </cols>
  <sheetData>
    <row r="1" spans="1:13" s="148" customFormat="1" x14ac:dyDescent="0.25">
      <c r="A1" s="148" t="s">
        <v>412</v>
      </c>
    </row>
    <row r="2" spans="1:13" s="148" customFormat="1" x14ac:dyDescent="0.25"/>
    <row r="3" spans="1:13" s="148" customFormat="1" x14ac:dyDescent="0.25"/>
    <row r="4" spans="1:13" s="23" customFormat="1" ht="9.9499999999999993" customHeight="1" x14ac:dyDescent="0.25"/>
    <row r="5" spans="1:13" s="23" customFormat="1" ht="28.5" x14ac:dyDescent="0.25">
      <c r="D5" s="149" t="s">
        <v>413</v>
      </c>
      <c r="E5" s="149"/>
      <c r="F5" s="149"/>
      <c r="H5" s="149" t="s">
        <v>416</v>
      </c>
      <c r="I5" s="149"/>
      <c r="J5" s="149"/>
      <c r="K5" s="149"/>
      <c r="L5" s="149"/>
      <c r="M5" s="149"/>
    </row>
    <row r="6" spans="1:13" ht="9.9499999999999993" customHeight="1" x14ac:dyDescent="0.25"/>
    <row r="7" spans="1:13" x14ac:dyDescent="0.25">
      <c r="D7" s="16" t="s">
        <v>414</v>
      </c>
      <c r="E7" t="s">
        <v>2</v>
      </c>
      <c r="F7" t="s">
        <v>415</v>
      </c>
    </row>
    <row r="8" spans="1:13" x14ac:dyDescent="0.25">
      <c r="D8" s="40" t="s">
        <v>216</v>
      </c>
      <c r="E8">
        <v>20</v>
      </c>
      <c r="F8" s="41">
        <v>20071.400000000001</v>
      </c>
    </row>
    <row r="9" spans="1:13" x14ac:dyDescent="0.25">
      <c r="D9" s="42" t="s">
        <v>199</v>
      </c>
      <c r="E9">
        <v>20</v>
      </c>
      <c r="F9" s="41">
        <v>20071.400000000001</v>
      </c>
    </row>
    <row r="10" spans="1:13" x14ac:dyDescent="0.25">
      <c r="D10" s="40" t="s">
        <v>127</v>
      </c>
      <c r="E10">
        <v>60</v>
      </c>
      <c r="F10" s="41">
        <v>19558.2</v>
      </c>
    </row>
    <row r="11" spans="1:13" x14ac:dyDescent="0.25">
      <c r="D11" s="42" t="s">
        <v>128</v>
      </c>
      <c r="E11">
        <v>60</v>
      </c>
      <c r="F11" s="41">
        <v>19558.2</v>
      </c>
    </row>
    <row r="12" spans="1:13" x14ac:dyDescent="0.25">
      <c r="D12" s="40" t="s">
        <v>111</v>
      </c>
      <c r="E12">
        <v>5</v>
      </c>
      <c r="F12" s="41">
        <v>2723.15</v>
      </c>
    </row>
    <row r="13" spans="1:13" x14ac:dyDescent="0.25">
      <c r="D13" s="42" t="s">
        <v>117</v>
      </c>
      <c r="E13">
        <v>5</v>
      </c>
      <c r="F13" s="41">
        <v>2723.15</v>
      </c>
    </row>
    <row r="14" spans="1:13" x14ac:dyDescent="0.25">
      <c r="D14" s="40" t="s">
        <v>372</v>
      </c>
      <c r="E14">
        <v>165</v>
      </c>
      <c r="F14" s="41">
        <v>73969.240000000005</v>
      </c>
    </row>
    <row r="15" spans="1:13" x14ac:dyDescent="0.25">
      <c r="D15" s="42" t="s">
        <v>357</v>
      </c>
      <c r="E15">
        <v>62</v>
      </c>
      <c r="F15" s="41">
        <v>21596.3</v>
      </c>
    </row>
    <row r="16" spans="1:13" x14ac:dyDescent="0.25">
      <c r="D16" s="42" t="s">
        <v>360</v>
      </c>
      <c r="E16">
        <v>5</v>
      </c>
      <c r="F16" s="41">
        <v>2891.63</v>
      </c>
    </row>
    <row r="17" spans="2:17" x14ac:dyDescent="0.25">
      <c r="D17" s="42" t="s">
        <v>363</v>
      </c>
      <c r="E17">
        <v>98</v>
      </c>
      <c r="F17" s="41">
        <v>49481.31</v>
      </c>
    </row>
    <row r="18" spans="2:17" x14ac:dyDescent="0.25">
      <c r="D18" s="40" t="s">
        <v>132</v>
      </c>
      <c r="E18">
        <v>5</v>
      </c>
      <c r="F18" s="41">
        <v>3383.4</v>
      </c>
    </row>
    <row r="19" spans="2:17" x14ac:dyDescent="0.25">
      <c r="D19" s="42" t="s">
        <v>165</v>
      </c>
      <c r="E19">
        <v>5</v>
      </c>
      <c r="F19" s="41">
        <v>3383.4</v>
      </c>
    </row>
    <row r="20" spans="2:17" x14ac:dyDescent="0.25">
      <c r="D20" s="40" t="s">
        <v>369</v>
      </c>
      <c r="E20">
        <v>255</v>
      </c>
      <c r="F20" s="41">
        <v>119705.39</v>
      </c>
    </row>
    <row r="23" spans="2:17" x14ac:dyDescent="0.25">
      <c r="B23" t="s">
        <v>230</v>
      </c>
    </row>
    <row r="27" spans="2:17" ht="28.5" x14ac:dyDescent="0.25">
      <c r="H27" s="149" t="s">
        <v>417</v>
      </c>
      <c r="I27" s="149"/>
      <c r="J27" s="149"/>
      <c r="K27" s="149"/>
      <c r="L27" s="149"/>
      <c r="M27" s="149"/>
      <c r="O27" s="16" t="s">
        <v>414</v>
      </c>
      <c r="P27" t="s">
        <v>2</v>
      </c>
      <c r="Q27" t="s">
        <v>415</v>
      </c>
    </row>
    <row r="28" spans="2:17" x14ac:dyDescent="0.25">
      <c r="O28" s="40" t="s">
        <v>418</v>
      </c>
      <c r="P28">
        <v>90</v>
      </c>
      <c r="Q28" s="41">
        <v>45244.38</v>
      </c>
    </row>
    <row r="29" spans="2:17" x14ac:dyDescent="0.25">
      <c r="O29" s="42" t="s">
        <v>419</v>
      </c>
      <c r="P29">
        <v>65</v>
      </c>
      <c r="Q29" s="41">
        <v>22449.83</v>
      </c>
    </row>
    <row r="30" spans="2:17" x14ac:dyDescent="0.25">
      <c r="O30" s="44" t="s">
        <v>425</v>
      </c>
      <c r="P30">
        <v>3</v>
      </c>
      <c r="Q30" s="41">
        <v>853.53</v>
      </c>
    </row>
    <row r="31" spans="2:17" x14ac:dyDescent="0.25">
      <c r="O31" s="44" t="s">
        <v>426</v>
      </c>
      <c r="P31">
        <v>62</v>
      </c>
      <c r="Q31" s="41">
        <v>21596.3</v>
      </c>
    </row>
    <row r="32" spans="2:17" x14ac:dyDescent="0.25">
      <c r="O32" s="42" t="s">
        <v>420</v>
      </c>
      <c r="P32">
        <v>25</v>
      </c>
      <c r="Q32" s="41">
        <v>22794.55</v>
      </c>
    </row>
    <row r="33" spans="15:17" x14ac:dyDescent="0.25">
      <c r="O33" s="44" t="s">
        <v>427</v>
      </c>
      <c r="P33">
        <v>25</v>
      </c>
      <c r="Q33" s="41">
        <v>22794.55</v>
      </c>
    </row>
    <row r="34" spans="15:17" x14ac:dyDescent="0.25">
      <c r="O34" s="40" t="s">
        <v>421</v>
      </c>
      <c r="P34">
        <v>165</v>
      </c>
      <c r="Q34" s="41">
        <v>74461.009999999995</v>
      </c>
    </row>
    <row r="35" spans="15:17" x14ac:dyDescent="0.25">
      <c r="O35" s="42" t="s">
        <v>422</v>
      </c>
      <c r="P35">
        <v>8</v>
      </c>
      <c r="Q35" s="41">
        <v>4236.93</v>
      </c>
    </row>
    <row r="36" spans="15:17" x14ac:dyDescent="0.25">
      <c r="O36" s="44" t="s">
        <v>428</v>
      </c>
      <c r="P36">
        <v>8</v>
      </c>
      <c r="Q36" s="41">
        <v>4236.93</v>
      </c>
    </row>
    <row r="37" spans="15:17" x14ac:dyDescent="0.25">
      <c r="O37" s="42" t="s">
        <v>423</v>
      </c>
      <c r="P37">
        <v>62</v>
      </c>
      <c r="Q37" s="41">
        <v>21596.3</v>
      </c>
    </row>
    <row r="38" spans="15:17" x14ac:dyDescent="0.25">
      <c r="O38" s="44" t="s">
        <v>429</v>
      </c>
      <c r="P38">
        <v>62</v>
      </c>
      <c r="Q38" s="41">
        <v>21596.3</v>
      </c>
    </row>
    <row r="39" spans="15:17" x14ac:dyDescent="0.25">
      <c r="O39" s="42" t="s">
        <v>424</v>
      </c>
      <c r="P39">
        <v>95</v>
      </c>
      <c r="Q39" s="41">
        <v>48627.78</v>
      </c>
    </row>
    <row r="40" spans="15:17" x14ac:dyDescent="0.25">
      <c r="O40" s="44" t="s">
        <v>430</v>
      </c>
      <c r="P40">
        <v>95</v>
      </c>
      <c r="Q40" s="41">
        <v>48627.78</v>
      </c>
    </row>
    <row r="41" spans="15:17" x14ac:dyDescent="0.25">
      <c r="O41" s="40" t="s">
        <v>369</v>
      </c>
      <c r="P41">
        <v>255</v>
      </c>
      <c r="Q41" s="41">
        <v>119705.39</v>
      </c>
    </row>
  </sheetData>
  <mergeCells count="4">
    <mergeCell ref="A1:XFD3"/>
    <mergeCell ref="D5:F5"/>
    <mergeCell ref="H5:M5"/>
    <mergeCell ref="H27:M27"/>
  </mergeCells>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54F6-69DA-4D48-9130-31A95EF58C2C}">
  <sheetPr codeName="Sheet3"/>
  <dimension ref="A1:M23"/>
  <sheetViews>
    <sheetView showRowColHeaders="0" zoomScale="130" zoomScaleNormal="130" workbookViewId="0">
      <selection activeCell="C11" sqref="C11"/>
    </sheetView>
  </sheetViews>
  <sheetFormatPr defaultRowHeight="15" x14ac:dyDescent="0.25"/>
  <cols>
    <col min="1" max="1" width="9.140625" style="1"/>
    <col min="2" max="2" width="20.28515625" customWidth="1"/>
    <col min="3" max="3" width="28.7109375" customWidth="1"/>
    <col min="4" max="4" width="28.7109375" style="3" customWidth="1"/>
    <col min="5" max="5" width="30.7109375" style="5" customWidth="1"/>
    <col min="6" max="6" width="37.42578125" customWidth="1"/>
    <col min="7" max="7" width="3" customWidth="1"/>
    <col min="12" max="12" width="22.140625" bestFit="1" customWidth="1"/>
    <col min="13" max="13" width="10.28515625" bestFit="1" customWidth="1"/>
  </cols>
  <sheetData>
    <row r="1" spans="1:13" x14ac:dyDescent="0.25">
      <c r="A1" s="1" t="s">
        <v>0</v>
      </c>
      <c r="B1" t="s">
        <v>228</v>
      </c>
      <c r="C1" t="s">
        <v>3</v>
      </c>
      <c r="D1" s="3" t="s">
        <v>219</v>
      </c>
      <c r="E1" s="5" t="s">
        <v>217</v>
      </c>
      <c r="F1" t="s">
        <v>1</v>
      </c>
      <c r="M1" s="1"/>
    </row>
    <row r="2" spans="1:13" x14ac:dyDescent="0.25">
      <c r="A2" s="1" t="s">
        <v>9</v>
      </c>
      <c r="B2">
        <v>10</v>
      </c>
      <c r="D2" s="3">
        <v>45329</v>
      </c>
      <c r="E2" s="5">
        <v>0.56805555555555554</v>
      </c>
      <c r="F2" t="str">
        <f>_xlfn.XLOOKUP(entradas_inv[[#This Row],[ID]],'DESCRIPCION PRODUCTOS'!G:G,'DESCRIPCION PRODUCTOS'!H:H)</f>
        <v xml:space="preserve">PARAFINADO ROJO ROLLO 100 METROS </v>
      </c>
      <c r="M2" s="1"/>
    </row>
    <row r="3" spans="1:13" x14ac:dyDescent="0.25">
      <c r="A3" s="1" t="s">
        <v>11</v>
      </c>
      <c r="B3">
        <v>15</v>
      </c>
      <c r="D3" s="3">
        <v>45329</v>
      </c>
      <c r="E3" s="5">
        <v>0.58333333333333337</v>
      </c>
      <c r="F3" t="str">
        <f>_xlfn.XLOOKUP(entradas_inv[[#This Row],[ID]],'DESCRIPCION PRODUCTOS'!G:G,'DESCRIPCION PRODUCTOS'!H:H)</f>
        <v xml:space="preserve">PARAFINADO NEGRO ROLLO 100 METROS </v>
      </c>
      <c r="M3" s="1"/>
    </row>
    <row r="4" spans="1:13" x14ac:dyDescent="0.25">
      <c r="F4">
        <f>_xlfn.XLOOKUP(entradas_inv[[#This Row],[ID]],'DESCRIPCION PRODUCTOS'!G:G,'DESCRIPCION PRODUCTOS'!H:H)</f>
        <v>0</v>
      </c>
      <c r="M4" s="1"/>
    </row>
    <row r="5" spans="1:13" x14ac:dyDescent="0.25">
      <c r="F5">
        <f>_xlfn.XLOOKUP(entradas_inv[[#This Row],[ID]],'DESCRIPCION PRODUCTOS'!G:G,'DESCRIPCION PRODUCTOS'!H:H)</f>
        <v>0</v>
      </c>
      <c r="M5" s="1"/>
    </row>
    <row r="6" spans="1:13" x14ac:dyDescent="0.25">
      <c r="F6">
        <f>_xlfn.XLOOKUP(entradas_inv[[#This Row],[ID]],'DESCRIPCION PRODUCTOS'!G:G,'DESCRIPCION PRODUCTOS'!H:H)</f>
        <v>0</v>
      </c>
      <c r="M6" s="1"/>
    </row>
    <row r="7" spans="1:13" x14ac:dyDescent="0.25">
      <c r="F7">
        <f>_xlfn.XLOOKUP(entradas_inv[[#This Row],[ID]],'DESCRIPCION PRODUCTOS'!G:G,'DESCRIPCION PRODUCTOS'!H:H)</f>
        <v>0</v>
      </c>
      <c r="M7" s="1"/>
    </row>
    <row r="8" spans="1:13" x14ac:dyDescent="0.25">
      <c r="F8">
        <f>_xlfn.XLOOKUP(entradas_inv[[#This Row],[ID]],'DESCRIPCION PRODUCTOS'!G:G,'DESCRIPCION PRODUCTOS'!H:H)</f>
        <v>0</v>
      </c>
      <c r="M8" s="1"/>
    </row>
    <row r="9" spans="1:13" x14ac:dyDescent="0.25">
      <c r="F9">
        <f>_xlfn.XLOOKUP(entradas_inv[[#This Row],[ID]],'DESCRIPCION PRODUCTOS'!G:G,'DESCRIPCION PRODUCTOS'!H:H)</f>
        <v>0</v>
      </c>
      <c r="M9" s="1"/>
    </row>
    <row r="10" spans="1:13" x14ac:dyDescent="0.25">
      <c r="F10">
        <f>_xlfn.XLOOKUP(entradas_inv[[#This Row],[ID]],'DESCRIPCION PRODUCTOS'!G:G,'DESCRIPCION PRODUCTOS'!H:H)</f>
        <v>0</v>
      </c>
      <c r="M10" s="1"/>
    </row>
    <row r="11" spans="1:13" x14ac:dyDescent="0.25">
      <c r="F11">
        <f>_xlfn.XLOOKUP(entradas_inv[[#This Row],[ID]],'DESCRIPCION PRODUCTOS'!G:G,'DESCRIPCION PRODUCTOS'!H:H)</f>
        <v>0</v>
      </c>
      <c r="M11" s="1"/>
    </row>
    <row r="12" spans="1:13" x14ac:dyDescent="0.25">
      <c r="F12">
        <f>_xlfn.XLOOKUP(entradas_inv[[#This Row],[ID]],'DESCRIPCION PRODUCTOS'!G:G,'DESCRIPCION PRODUCTOS'!H:H)</f>
        <v>0</v>
      </c>
      <c r="M12" s="1"/>
    </row>
    <row r="13" spans="1:13" x14ac:dyDescent="0.25">
      <c r="F13">
        <f>_xlfn.XLOOKUP(entradas_inv[[#This Row],[ID]],'DESCRIPCION PRODUCTOS'!G:G,'DESCRIPCION PRODUCTOS'!H:H)</f>
        <v>0</v>
      </c>
      <c r="M13" s="1"/>
    </row>
    <row r="14" spans="1:13" x14ac:dyDescent="0.25">
      <c r="F14">
        <f>_xlfn.XLOOKUP(entradas_inv[[#This Row],[ID]],'DESCRIPCION PRODUCTOS'!G:G,'DESCRIPCION PRODUCTOS'!H:H)</f>
        <v>0</v>
      </c>
      <c r="M14" s="1"/>
    </row>
    <row r="15" spans="1:13" x14ac:dyDescent="0.25">
      <c r="F15">
        <f>_xlfn.XLOOKUP(entradas_inv[[#This Row],[ID]],'DESCRIPCION PRODUCTOS'!G:G,'DESCRIPCION PRODUCTOS'!H:H)</f>
        <v>0</v>
      </c>
      <c r="J15" s="2"/>
      <c r="M15" s="1"/>
    </row>
    <row r="16" spans="1:13" x14ac:dyDescent="0.25">
      <c r="F16">
        <f>_xlfn.XLOOKUP(entradas_inv[[#This Row],[ID]],'DESCRIPCION PRODUCTOS'!G:G,'DESCRIPCION PRODUCTOS'!H:H)</f>
        <v>0</v>
      </c>
      <c r="M16" s="1"/>
    </row>
    <row r="17" spans="6:12" x14ac:dyDescent="0.25">
      <c r="F17">
        <f>_xlfn.XLOOKUP(entradas_inv[[#This Row],[ID]],'DESCRIPCION PRODUCTOS'!G:G,'DESCRIPCION PRODUCTOS'!H:H)</f>
        <v>0</v>
      </c>
    </row>
    <row r="18" spans="6:12" x14ac:dyDescent="0.25">
      <c r="F18">
        <f>_xlfn.XLOOKUP(entradas_inv[[#This Row],[ID]],'DESCRIPCION PRODUCTOS'!G:G,'DESCRIPCION PRODUCTOS'!H:H)</f>
        <v>0</v>
      </c>
    </row>
    <row r="19" spans="6:12" x14ac:dyDescent="0.25">
      <c r="F19">
        <f>_xlfn.XLOOKUP(entradas_inv[[#This Row],[ID]],'DESCRIPCION PRODUCTOS'!G:G,'DESCRIPCION PRODUCTOS'!H:H)</f>
        <v>0</v>
      </c>
    </row>
    <row r="23" spans="6:12" x14ac:dyDescent="0.25">
      <c r="L23" s="4"/>
    </row>
  </sheetData>
  <dataValidations count="1">
    <dataValidation type="list" allowBlank="1" showInputMessage="1" showErrorMessage="1" sqref="A2:A19" xr:uid="{4DE7F71F-0FE6-4536-BC63-CB48C2FAAE4F}">
      <formula1>id_product</formula1>
    </dataValidation>
  </dataValidations>
  <pageMargins left="0.7" right="0.7" top="0.75" bottom="0.75" header="0.3" footer="0.3"/>
  <drawing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A7CAB-3BCB-4FE3-BC17-A4B226A1C721}">
  <sheetPr codeName="Sheet4"/>
  <dimension ref="A1:I89"/>
  <sheetViews>
    <sheetView workbookViewId="0">
      <selection activeCell="F15" sqref="F15"/>
    </sheetView>
  </sheetViews>
  <sheetFormatPr defaultRowHeight="15" x14ac:dyDescent="0.25"/>
  <cols>
    <col min="1" max="1" width="6" bestFit="1" customWidth="1"/>
    <col min="2" max="2" width="20.28515625" customWidth="1"/>
    <col min="3" max="3" width="15.42578125" customWidth="1"/>
    <col min="4" max="4" width="28.85546875" customWidth="1"/>
    <col min="5" max="5" width="30" customWidth="1"/>
    <col min="6" max="6" width="30.42578125" bestFit="1" customWidth="1"/>
    <col min="7" max="8" width="30.42578125" customWidth="1"/>
    <col min="9" max="9" width="22" style="20" bestFit="1" customWidth="1"/>
  </cols>
  <sheetData>
    <row r="1" spans="1:9" x14ac:dyDescent="0.25">
      <c r="A1" s="6" t="s">
        <v>0</v>
      </c>
      <c r="B1" s="7" t="s">
        <v>2</v>
      </c>
      <c r="C1" s="7" t="s">
        <v>3</v>
      </c>
      <c r="D1" s="8" t="s">
        <v>219</v>
      </c>
      <c r="E1" s="9" t="s">
        <v>217</v>
      </c>
      <c r="F1" s="7" t="s">
        <v>1</v>
      </c>
      <c r="G1" s="7" t="s">
        <v>371</v>
      </c>
      <c r="H1" s="7" t="s">
        <v>223</v>
      </c>
      <c r="I1" s="18" t="s">
        <v>225</v>
      </c>
    </row>
    <row r="2" spans="1:9" x14ac:dyDescent="0.25">
      <c r="A2" s="1" t="s">
        <v>9</v>
      </c>
      <c r="B2">
        <v>99</v>
      </c>
      <c r="C2" t="s">
        <v>218</v>
      </c>
      <c r="D2" s="3">
        <v>45218</v>
      </c>
      <c r="E2" s="5">
        <v>0.33333333333333331</v>
      </c>
      <c r="F2" t="s">
        <v>7</v>
      </c>
      <c r="G2" t="str">
        <f>_xlfn.XLOOKUP(entradas_hist[[#This Row],[ID]],total_leyenda[ID],total_leyenda[categoria])</f>
        <v>Parafinado</v>
      </c>
      <c r="H2" t="s">
        <v>226</v>
      </c>
      <c r="I2" s="19">
        <v>45317.6875</v>
      </c>
    </row>
    <row r="3" spans="1:9" x14ac:dyDescent="0.25">
      <c r="A3" s="10" t="s">
        <v>11</v>
      </c>
      <c r="B3" s="11">
        <v>60</v>
      </c>
      <c r="C3" s="11" t="s">
        <v>218</v>
      </c>
      <c r="D3" s="13">
        <v>45218</v>
      </c>
      <c r="E3" s="14">
        <v>0.33333333333333331</v>
      </c>
      <c r="F3" s="11" t="s">
        <v>10</v>
      </c>
      <c r="G3" s="12" t="str">
        <f>_xlfn.XLOOKUP(entradas_hist[[#This Row],[ID]],total_leyenda[ID],total_leyenda[categoria])</f>
        <v>Parafinado</v>
      </c>
      <c r="H3" t="s">
        <v>226</v>
      </c>
      <c r="I3" s="19">
        <v>45317.6875</v>
      </c>
    </row>
    <row r="4" spans="1:9" x14ac:dyDescent="0.25">
      <c r="A4" s="10" t="s">
        <v>13</v>
      </c>
      <c r="B4" s="12">
        <v>51</v>
      </c>
      <c r="C4" s="12" t="s">
        <v>218</v>
      </c>
      <c r="D4" s="13">
        <v>45218</v>
      </c>
      <c r="E4" s="14">
        <v>0.33333333333333331</v>
      </c>
      <c r="F4" s="12" t="s">
        <v>12</v>
      </c>
      <c r="G4" s="12" t="str">
        <f>_xlfn.XLOOKUP(entradas_hist[[#This Row],[ID]],total_leyenda[ID],total_leyenda[categoria])</f>
        <v>Parafinado</v>
      </c>
      <c r="H4" t="s">
        <v>226</v>
      </c>
      <c r="I4" s="19">
        <v>45317.6875</v>
      </c>
    </row>
    <row r="5" spans="1:9" x14ac:dyDescent="0.25">
      <c r="A5" s="10" t="s">
        <v>15</v>
      </c>
      <c r="B5" s="11">
        <v>0</v>
      </c>
      <c r="C5" s="11" t="s">
        <v>218</v>
      </c>
      <c r="D5" s="13">
        <v>45218</v>
      </c>
      <c r="E5" s="14">
        <v>0.33333333333333331</v>
      </c>
      <c r="F5" s="11" t="s">
        <v>14</v>
      </c>
      <c r="G5" s="12" t="str">
        <f>_xlfn.XLOOKUP(entradas_hist[[#This Row],[ID]],total_leyenda[ID],total_leyenda[categoria])</f>
        <v>Parafinado</v>
      </c>
      <c r="H5" t="s">
        <v>226</v>
      </c>
      <c r="I5" s="19">
        <v>45317.6875</v>
      </c>
    </row>
    <row r="6" spans="1:9" x14ac:dyDescent="0.25">
      <c r="A6" s="10" t="s">
        <v>16</v>
      </c>
      <c r="B6" s="12">
        <v>32</v>
      </c>
      <c r="C6" s="12" t="s">
        <v>218</v>
      </c>
      <c r="D6" s="13">
        <v>45218</v>
      </c>
      <c r="E6" s="14">
        <v>0.33333333333333331</v>
      </c>
      <c r="F6" s="12" t="s">
        <v>20</v>
      </c>
      <c r="G6" s="12" t="str">
        <f>_xlfn.XLOOKUP(entradas_hist[[#This Row],[ID]],total_leyenda[ID],total_leyenda[categoria])</f>
        <v>Parafinado</v>
      </c>
      <c r="H6" t="s">
        <v>226</v>
      </c>
      <c r="I6" s="19">
        <v>45317.6875</v>
      </c>
    </row>
    <row r="7" spans="1:9" x14ac:dyDescent="0.25">
      <c r="A7" s="10" t="s">
        <v>17</v>
      </c>
      <c r="B7" s="12">
        <v>10</v>
      </c>
      <c r="C7" s="12" t="s">
        <v>218</v>
      </c>
      <c r="D7" s="13">
        <v>45218</v>
      </c>
      <c r="E7" s="14">
        <v>0.33333333333333331</v>
      </c>
      <c r="F7" s="12" t="s">
        <v>21</v>
      </c>
      <c r="G7" s="12" t="str">
        <f>_xlfn.XLOOKUP(entradas_hist[[#This Row],[ID]],total_leyenda[ID],total_leyenda[categoria])</f>
        <v>Parafinado</v>
      </c>
      <c r="H7" t="s">
        <v>226</v>
      </c>
      <c r="I7" s="19">
        <v>45317.6875</v>
      </c>
    </row>
    <row r="8" spans="1:9" x14ac:dyDescent="0.25">
      <c r="A8" s="10" t="s">
        <v>18</v>
      </c>
      <c r="B8" s="12">
        <v>17</v>
      </c>
      <c r="C8" s="12" t="s">
        <v>218</v>
      </c>
      <c r="D8" s="13">
        <v>45218</v>
      </c>
      <c r="E8" s="14">
        <v>0.33333333333333331</v>
      </c>
      <c r="F8" s="12" t="s">
        <v>22</v>
      </c>
      <c r="G8" s="12" t="str">
        <f>_xlfn.XLOOKUP(entradas_hist[[#This Row],[ID]],total_leyenda[ID],total_leyenda[categoria])</f>
        <v>Parafinado</v>
      </c>
      <c r="H8" t="s">
        <v>226</v>
      </c>
      <c r="I8" s="19">
        <v>45317.6875</v>
      </c>
    </row>
    <row r="9" spans="1:9" x14ac:dyDescent="0.25">
      <c r="A9" s="10" t="s">
        <v>19</v>
      </c>
      <c r="B9" s="12">
        <v>21</v>
      </c>
      <c r="C9" s="12" t="s">
        <v>218</v>
      </c>
      <c r="D9" s="13">
        <v>45218</v>
      </c>
      <c r="E9" s="14">
        <v>0.33333333333333331</v>
      </c>
      <c r="F9" s="12" t="s">
        <v>23</v>
      </c>
      <c r="G9" s="12" t="str">
        <f>_xlfn.XLOOKUP(entradas_hist[[#This Row],[ID]],total_leyenda[ID],total_leyenda[categoria])</f>
        <v>Parafinado</v>
      </c>
      <c r="H9" t="s">
        <v>226</v>
      </c>
      <c r="I9" s="19">
        <v>45317.6875</v>
      </c>
    </row>
    <row r="10" spans="1:9" x14ac:dyDescent="0.25">
      <c r="A10" s="10" t="s">
        <v>27</v>
      </c>
      <c r="B10" s="12">
        <v>9</v>
      </c>
      <c r="C10" s="12" t="s">
        <v>218</v>
      </c>
      <c r="D10" s="13">
        <v>45218</v>
      </c>
      <c r="E10" s="14">
        <v>0.33333333333333331</v>
      </c>
      <c r="F10" s="12" t="s">
        <v>28</v>
      </c>
      <c r="G10" s="12" t="str">
        <f>_xlfn.XLOOKUP(entradas_hist[[#This Row],[ID]],total_leyenda[ID],total_leyenda[categoria])</f>
        <v>Parafinado</v>
      </c>
      <c r="H10" t="s">
        <v>226</v>
      </c>
      <c r="I10" s="19">
        <v>45317.6875</v>
      </c>
    </row>
    <row r="11" spans="1:9" x14ac:dyDescent="0.25">
      <c r="A11" s="10" t="s">
        <v>29</v>
      </c>
      <c r="B11" s="12">
        <v>0</v>
      </c>
      <c r="C11" s="12" t="s">
        <v>218</v>
      </c>
      <c r="D11" s="13">
        <v>45218</v>
      </c>
      <c r="E11" s="14">
        <v>0.33333333333333331</v>
      </c>
      <c r="F11" s="12" t="s">
        <v>36</v>
      </c>
      <c r="G11" s="12" t="str">
        <f>_xlfn.XLOOKUP(entradas_hist[[#This Row],[ID]],total_leyenda[ID],total_leyenda[categoria])</f>
        <v>Parafinado</v>
      </c>
      <c r="H11" t="s">
        <v>226</v>
      </c>
      <c r="I11" s="19">
        <v>45317.6875</v>
      </c>
    </row>
    <row r="12" spans="1:9" x14ac:dyDescent="0.25">
      <c r="A12" s="10" t="s">
        <v>30</v>
      </c>
      <c r="B12" s="12">
        <v>35</v>
      </c>
      <c r="C12" s="12" t="s">
        <v>218</v>
      </c>
      <c r="D12" s="13">
        <v>45218</v>
      </c>
      <c r="E12" s="14">
        <v>0.33333333333333331</v>
      </c>
      <c r="F12" s="12" t="s">
        <v>37</v>
      </c>
      <c r="G12" s="12" t="str">
        <f>_xlfn.XLOOKUP(entradas_hist[[#This Row],[ID]],total_leyenda[ID],total_leyenda[categoria])</f>
        <v>Parafinado</v>
      </c>
      <c r="H12" t="s">
        <v>226</v>
      </c>
      <c r="I12" s="19">
        <v>45317.6875</v>
      </c>
    </row>
    <row r="13" spans="1:9" x14ac:dyDescent="0.25">
      <c r="A13" s="10" t="s">
        <v>31</v>
      </c>
      <c r="B13" s="12">
        <v>4</v>
      </c>
      <c r="C13" s="12" t="s">
        <v>218</v>
      </c>
      <c r="D13" s="13">
        <v>45218</v>
      </c>
      <c r="E13" s="14">
        <v>0.33333333333333331</v>
      </c>
      <c r="F13" s="12" t="s">
        <v>38</v>
      </c>
      <c r="G13" s="12" t="str">
        <f>_xlfn.XLOOKUP(entradas_hist[[#This Row],[ID]],total_leyenda[ID],total_leyenda[categoria])</f>
        <v>Parafinado</v>
      </c>
      <c r="H13" t="s">
        <v>226</v>
      </c>
      <c r="I13" s="19">
        <v>45317.6875</v>
      </c>
    </row>
    <row r="14" spans="1:9" x14ac:dyDescent="0.25">
      <c r="A14" s="10" t="s">
        <v>32</v>
      </c>
      <c r="B14" s="12">
        <v>21</v>
      </c>
      <c r="C14" s="12" t="s">
        <v>218</v>
      </c>
      <c r="D14" s="13">
        <v>45218</v>
      </c>
      <c r="E14" s="14">
        <v>0.33333333333333331</v>
      </c>
      <c r="F14" s="12" t="s">
        <v>39</v>
      </c>
      <c r="G14" s="12" t="str">
        <f>_xlfn.XLOOKUP(entradas_hist[[#This Row],[ID]],total_leyenda[ID],total_leyenda[categoria])</f>
        <v>Parafinado</v>
      </c>
      <c r="H14" t="s">
        <v>226</v>
      </c>
      <c r="I14" s="19">
        <v>45317.6875</v>
      </c>
    </row>
    <row r="15" spans="1:9" x14ac:dyDescent="0.25">
      <c r="A15" s="10" t="s">
        <v>33</v>
      </c>
      <c r="B15" s="12">
        <v>14</v>
      </c>
      <c r="C15" s="12" t="s">
        <v>218</v>
      </c>
      <c r="D15" s="13">
        <v>45218</v>
      </c>
      <c r="E15" s="14">
        <v>0.33333333333333331</v>
      </c>
      <c r="F15" s="12" t="s">
        <v>40</v>
      </c>
      <c r="G15" s="12" t="str">
        <f>_xlfn.XLOOKUP(entradas_hist[[#This Row],[ID]],total_leyenda[ID],total_leyenda[categoria])</f>
        <v>Parafinado</v>
      </c>
      <c r="H15" t="s">
        <v>226</v>
      </c>
      <c r="I15" s="19">
        <v>45317.6875</v>
      </c>
    </row>
    <row r="16" spans="1:9" x14ac:dyDescent="0.25">
      <c r="A16" s="10" t="s">
        <v>34</v>
      </c>
      <c r="B16" s="12">
        <v>12</v>
      </c>
      <c r="C16" s="12" t="s">
        <v>218</v>
      </c>
      <c r="D16" s="13">
        <v>45218</v>
      </c>
      <c r="E16" s="14">
        <v>0.33333333333333331</v>
      </c>
      <c r="F16" s="12" t="s">
        <v>41</v>
      </c>
      <c r="G16" s="12" t="str">
        <f>_xlfn.XLOOKUP(entradas_hist[[#This Row],[ID]],total_leyenda[ID],total_leyenda[categoria])</f>
        <v>Parafinado</v>
      </c>
      <c r="H16" t="s">
        <v>226</v>
      </c>
      <c r="I16" s="19">
        <v>45317.6875</v>
      </c>
    </row>
    <row r="17" spans="1:9" x14ac:dyDescent="0.25">
      <c r="A17" s="10" t="s">
        <v>35</v>
      </c>
      <c r="B17" s="12">
        <v>0</v>
      </c>
      <c r="C17" s="12" t="s">
        <v>218</v>
      </c>
      <c r="D17" s="13">
        <v>45218</v>
      </c>
      <c r="E17" s="14">
        <v>0.33333333333333331</v>
      </c>
      <c r="F17" s="12" t="s">
        <v>42</v>
      </c>
      <c r="G17" s="12" t="str">
        <f>_xlfn.XLOOKUP(entradas_hist[[#This Row],[ID]],total_leyenda[ID],total_leyenda[categoria])</f>
        <v>Parafinado</v>
      </c>
      <c r="H17" t="s">
        <v>226</v>
      </c>
      <c r="I17" s="19">
        <v>45317.6875</v>
      </c>
    </row>
    <row r="18" spans="1:9" x14ac:dyDescent="0.25">
      <c r="A18" s="10" t="s">
        <v>44</v>
      </c>
      <c r="B18" s="12">
        <v>15</v>
      </c>
      <c r="C18" s="12" t="s">
        <v>218</v>
      </c>
      <c r="D18" s="13">
        <v>45218</v>
      </c>
      <c r="E18" s="14">
        <v>0.33333333333333331</v>
      </c>
      <c r="F18" s="12" t="s">
        <v>52</v>
      </c>
      <c r="G18" s="12" t="str">
        <f>_xlfn.XLOOKUP(entradas_hist[[#This Row],[ID]],total_leyenda[ID],total_leyenda[categoria])</f>
        <v>Parafinado</v>
      </c>
      <c r="H18" t="s">
        <v>226</v>
      </c>
      <c r="I18" s="19">
        <v>45317.6875</v>
      </c>
    </row>
    <row r="19" spans="1:9" x14ac:dyDescent="0.25">
      <c r="A19" s="10" t="s">
        <v>45</v>
      </c>
      <c r="B19" s="12">
        <v>8</v>
      </c>
      <c r="C19" s="12" t="s">
        <v>218</v>
      </c>
      <c r="D19" s="13">
        <v>45218</v>
      </c>
      <c r="E19" s="14">
        <v>0.33333333333333331</v>
      </c>
      <c r="F19" s="12" t="s">
        <v>53</v>
      </c>
      <c r="G19" s="12" t="str">
        <f>_xlfn.XLOOKUP(entradas_hist[[#This Row],[ID]],total_leyenda[ID],total_leyenda[categoria])</f>
        <v>Parafinado</v>
      </c>
      <c r="H19" t="s">
        <v>226</v>
      </c>
      <c r="I19" s="19">
        <v>45317.6875</v>
      </c>
    </row>
    <row r="20" spans="1:9" x14ac:dyDescent="0.25">
      <c r="A20" s="10" t="s">
        <v>46</v>
      </c>
      <c r="B20" s="12">
        <v>46</v>
      </c>
      <c r="C20" s="12" t="s">
        <v>218</v>
      </c>
      <c r="D20" s="13">
        <v>45218</v>
      </c>
      <c r="E20" s="14">
        <v>0.33333333333333331</v>
      </c>
      <c r="F20" s="12" t="s">
        <v>54</v>
      </c>
      <c r="G20" s="12" t="str">
        <f>_xlfn.XLOOKUP(entradas_hist[[#This Row],[ID]],total_leyenda[ID],total_leyenda[categoria])</f>
        <v>Parafinado</v>
      </c>
      <c r="H20" t="s">
        <v>226</v>
      </c>
      <c r="I20" s="19">
        <v>45317.6875</v>
      </c>
    </row>
    <row r="21" spans="1:9" x14ac:dyDescent="0.25">
      <c r="A21" s="10" t="s">
        <v>47</v>
      </c>
      <c r="B21" s="12">
        <v>15</v>
      </c>
      <c r="C21" s="12" t="s">
        <v>218</v>
      </c>
      <c r="D21" s="13">
        <v>45218</v>
      </c>
      <c r="E21" s="14">
        <v>0.33333333333333331</v>
      </c>
      <c r="F21" s="12" t="s">
        <v>55</v>
      </c>
      <c r="G21" s="12" t="str">
        <f>_xlfn.XLOOKUP(entradas_hist[[#This Row],[ID]],total_leyenda[ID],total_leyenda[categoria])</f>
        <v>Parafinado</v>
      </c>
      <c r="H21" t="s">
        <v>226</v>
      </c>
      <c r="I21" s="19">
        <v>45317.6875</v>
      </c>
    </row>
    <row r="22" spans="1:9" x14ac:dyDescent="0.25">
      <c r="A22" s="10" t="s">
        <v>48</v>
      </c>
      <c r="B22" s="12">
        <v>14</v>
      </c>
      <c r="C22" s="12" t="s">
        <v>218</v>
      </c>
      <c r="D22" s="13">
        <v>45218</v>
      </c>
      <c r="E22" s="14">
        <v>0.33333333333333331</v>
      </c>
      <c r="F22" s="12" t="s">
        <v>56</v>
      </c>
      <c r="G22" s="12" t="str">
        <f>_xlfn.XLOOKUP(entradas_hist[[#This Row],[ID]],total_leyenda[ID],total_leyenda[categoria])</f>
        <v>Parafinado</v>
      </c>
      <c r="H22" t="s">
        <v>226</v>
      </c>
      <c r="I22" s="19">
        <v>45317.6875</v>
      </c>
    </row>
    <row r="23" spans="1:9" x14ac:dyDescent="0.25">
      <c r="A23" s="10" t="s">
        <v>49</v>
      </c>
      <c r="B23" s="12">
        <v>15</v>
      </c>
      <c r="C23" s="12" t="s">
        <v>218</v>
      </c>
      <c r="D23" s="13">
        <v>45218</v>
      </c>
      <c r="E23" s="14">
        <v>0.33333333333333331</v>
      </c>
      <c r="F23" s="12" t="s">
        <v>57</v>
      </c>
      <c r="G23" s="12" t="str">
        <f>_xlfn.XLOOKUP(entradas_hist[[#This Row],[ID]],total_leyenda[ID],total_leyenda[categoria])</f>
        <v>Parafinado</v>
      </c>
      <c r="H23" t="s">
        <v>226</v>
      </c>
      <c r="I23" s="19">
        <v>45317.6875</v>
      </c>
    </row>
    <row r="24" spans="1:9" x14ac:dyDescent="0.25">
      <c r="A24" s="10" t="s">
        <v>50</v>
      </c>
      <c r="B24" s="12">
        <v>13</v>
      </c>
      <c r="C24" s="12" t="s">
        <v>218</v>
      </c>
      <c r="D24" s="13">
        <v>45218</v>
      </c>
      <c r="E24" s="14">
        <v>0.33333333333333331</v>
      </c>
      <c r="F24" s="12" t="s">
        <v>58</v>
      </c>
      <c r="G24" s="12" t="str">
        <f>_xlfn.XLOOKUP(entradas_hist[[#This Row],[ID]],total_leyenda[ID],total_leyenda[categoria])</f>
        <v>Parafinado</v>
      </c>
      <c r="H24" t="s">
        <v>226</v>
      </c>
      <c r="I24" s="19">
        <v>45317.6875</v>
      </c>
    </row>
    <row r="25" spans="1:9" x14ac:dyDescent="0.25">
      <c r="A25" s="10" t="s">
        <v>61</v>
      </c>
      <c r="B25" s="12">
        <v>126</v>
      </c>
      <c r="C25" s="12" t="s">
        <v>218</v>
      </c>
      <c r="D25" s="13">
        <v>45218</v>
      </c>
      <c r="E25" s="14">
        <v>0.33333333333333331</v>
      </c>
      <c r="F25" s="12" t="s">
        <v>68</v>
      </c>
      <c r="G25" s="12" t="str">
        <f>_xlfn.XLOOKUP(entradas_hist[[#This Row],[ID]],total_leyenda[ID],total_leyenda[categoria])</f>
        <v>Parafinado</v>
      </c>
      <c r="H25" t="s">
        <v>226</v>
      </c>
      <c r="I25" s="19">
        <v>45317.6875</v>
      </c>
    </row>
    <row r="26" spans="1:9" x14ac:dyDescent="0.25">
      <c r="A26" s="10" t="s">
        <v>62</v>
      </c>
      <c r="B26" s="12">
        <v>26</v>
      </c>
      <c r="C26" s="12" t="s">
        <v>218</v>
      </c>
      <c r="D26" s="13">
        <v>45218</v>
      </c>
      <c r="E26" s="14">
        <v>0.33333333333333331</v>
      </c>
      <c r="F26" s="12" t="s">
        <v>69</v>
      </c>
      <c r="G26" s="12" t="str">
        <f>_xlfn.XLOOKUP(entradas_hist[[#This Row],[ID]],total_leyenda[ID],total_leyenda[categoria])</f>
        <v>Parafinado</v>
      </c>
      <c r="H26" t="s">
        <v>226</v>
      </c>
      <c r="I26" s="19">
        <v>45317.6875</v>
      </c>
    </row>
    <row r="27" spans="1:9" x14ac:dyDescent="0.25">
      <c r="A27" s="10" t="s">
        <v>63</v>
      </c>
      <c r="B27" s="12">
        <v>32</v>
      </c>
      <c r="C27" s="12" t="s">
        <v>218</v>
      </c>
      <c r="D27" s="13">
        <v>45218</v>
      </c>
      <c r="E27" s="14">
        <v>0.33333333333333331</v>
      </c>
      <c r="F27" s="12" t="s">
        <v>70</v>
      </c>
      <c r="G27" s="12" t="str">
        <f>_xlfn.XLOOKUP(entradas_hist[[#This Row],[ID]],total_leyenda[ID],total_leyenda[categoria])</f>
        <v>Parafinado</v>
      </c>
      <c r="H27" t="s">
        <v>226</v>
      </c>
      <c r="I27" s="19">
        <v>45317.6875</v>
      </c>
    </row>
    <row r="28" spans="1:9" x14ac:dyDescent="0.25">
      <c r="A28" s="10" t="s">
        <v>64</v>
      </c>
      <c r="B28" s="12">
        <v>30</v>
      </c>
      <c r="C28" s="12" t="s">
        <v>218</v>
      </c>
      <c r="D28" s="13">
        <v>45218</v>
      </c>
      <c r="E28" s="14">
        <v>0.33333333333333331</v>
      </c>
      <c r="F28" s="12" t="s">
        <v>71</v>
      </c>
      <c r="G28" s="12" t="str">
        <f>_xlfn.XLOOKUP(entradas_hist[[#This Row],[ID]],total_leyenda[ID],total_leyenda[categoria])</f>
        <v>Parafinado</v>
      </c>
      <c r="H28" t="s">
        <v>226</v>
      </c>
      <c r="I28" s="19">
        <v>45317.6875</v>
      </c>
    </row>
    <row r="29" spans="1:9" x14ac:dyDescent="0.25">
      <c r="A29" s="10" t="s">
        <v>65</v>
      </c>
      <c r="B29" s="12">
        <v>28</v>
      </c>
      <c r="C29" s="12" t="s">
        <v>218</v>
      </c>
      <c r="D29" s="13">
        <v>45218</v>
      </c>
      <c r="E29" s="14">
        <v>0.33333333333333331</v>
      </c>
      <c r="F29" s="12" t="s">
        <v>75</v>
      </c>
      <c r="G29" s="12" t="str">
        <f>_xlfn.XLOOKUP(entradas_hist[[#This Row],[ID]],total_leyenda[ID],total_leyenda[categoria])</f>
        <v>Parafinado</v>
      </c>
      <c r="H29" t="s">
        <v>226</v>
      </c>
      <c r="I29" s="19">
        <v>45317.6875</v>
      </c>
    </row>
    <row r="30" spans="1:9" x14ac:dyDescent="0.25">
      <c r="A30" s="10" t="s">
        <v>66</v>
      </c>
      <c r="B30" s="12">
        <v>19</v>
      </c>
      <c r="C30" s="12" t="s">
        <v>218</v>
      </c>
      <c r="D30" s="13">
        <v>45218</v>
      </c>
      <c r="E30" s="14">
        <v>0.33333333333333331</v>
      </c>
      <c r="F30" s="12" t="s">
        <v>74</v>
      </c>
      <c r="G30" s="12" t="str">
        <f>_xlfn.XLOOKUP(entradas_hist[[#This Row],[ID]],total_leyenda[ID],total_leyenda[categoria])</f>
        <v>Parafinado</v>
      </c>
      <c r="H30" t="s">
        <v>226</v>
      </c>
      <c r="I30" s="19">
        <v>45317.6875</v>
      </c>
    </row>
    <row r="31" spans="1:9" x14ac:dyDescent="0.25">
      <c r="A31" s="10" t="s">
        <v>67</v>
      </c>
      <c r="B31" s="12">
        <v>4</v>
      </c>
      <c r="C31" s="12" t="s">
        <v>218</v>
      </c>
      <c r="D31" s="13">
        <v>45218</v>
      </c>
      <c r="E31" s="14">
        <v>0.33333333333333331</v>
      </c>
      <c r="F31" s="12" t="s">
        <v>78</v>
      </c>
      <c r="G31" s="12" t="str">
        <f>_xlfn.XLOOKUP(entradas_hist[[#This Row],[ID]],total_leyenda[ID],total_leyenda[categoria])</f>
        <v>Parafinado</v>
      </c>
      <c r="H31" t="s">
        <v>226</v>
      </c>
      <c r="I31" s="19">
        <v>45317.6875</v>
      </c>
    </row>
    <row r="32" spans="1:9" x14ac:dyDescent="0.25">
      <c r="A32" s="10" t="s">
        <v>80</v>
      </c>
      <c r="B32" s="12">
        <v>127</v>
      </c>
      <c r="C32" s="12" t="s">
        <v>218</v>
      </c>
      <c r="D32" s="13">
        <v>45218</v>
      </c>
      <c r="E32" s="14">
        <v>0.33333333333333331</v>
      </c>
      <c r="F32" s="12" t="s">
        <v>87</v>
      </c>
      <c r="G32" s="12" t="str">
        <f>_xlfn.XLOOKUP(entradas_hist[[#This Row],[ID]],total_leyenda[ID],total_leyenda[categoria])</f>
        <v>Parafinado</v>
      </c>
      <c r="H32" t="s">
        <v>226</v>
      </c>
      <c r="I32" s="19">
        <v>45317.6875</v>
      </c>
    </row>
    <row r="33" spans="1:9" x14ac:dyDescent="0.25">
      <c r="A33" s="10" t="s">
        <v>81</v>
      </c>
      <c r="B33" s="12">
        <v>16</v>
      </c>
      <c r="C33" s="12" t="s">
        <v>218</v>
      </c>
      <c r="D33" s="13">
        <v>45218</v>
      </c>
      <c r="E33" s="14">
        <v>0.33333333333333331</v>
      </c>
      <c r="F33" s="12" t="s">
        <v>88</v>
      </c>
      <c r="G33" s="12" t="str">
        <f>_xlfn.XLOOKUP(entradas_hist[[#This Row],[ID]],total_leyenda[ID],total_leyenda[categoria])</f>
        <v>Parafinado</v>
      </c>
      <c r="H33" t="s">
        <v>226</v>
      </c>
      <c r="I33" s="19">
        <v>45317.6875</v>
      </c>
    </row>
    <row r="34" spans="1:9" x14ac:dyDescent="0.25">
      <c r="A34" s="10" t="s">
        <v>82</v>
      </c>
      <c r="B34" s="12">
        <v>39</v>
      </c>
      <c r="C34" s="12" t="s">
        <v>218</v>
      </c>
      <c r="D34" s="13">
        <v>45218</v>
      </c>
      <c r="E34" s="14">
        <v>0.33333333333333331</v>
      </c>
      <c r="F34" s="12" t="s">
        <v>89</v>
      </c>
      <c r="G34" s="12" t="str">
        <f>_xlfn.XLOOKUP(entradas_hist[[#This Row],[ID]],total_leyenda[ID],total_leyenda[categoria])</f>
        <v>Parafinado</v>
      </c>
      <c r="H34" t="s">
        <v>226</v>
      </c>
      <c r="I34" s="19">
        <v>45317.6875</v>
      </c>
    </row>
    <row r="35" spans="1:9" x14ac:dyDescent="0.25">
      <c r="A35" s="10" t="s">
        <v>83</v>
      </c>
      <c r="B35" s="12">
        <v>16</v>
      </c>
      <c r="C35" s="12" t="s">
        <v>218</v>
      </c>
      <c r="D35" s="13">
        <v>45218</v>
      </c>
      <c r="E35" s="14">
        <v>0.33333333333333331</v>
      </c>
      <c r="F35" s="12" t="s">
        <v>90</v>
      </c>
      <c r="G35" s="12" t="str">
        <f>_xlfn.XLOOKUP(entradas_hist[[#This Row],[ID]],total_leyenda[ID],total_leyenda[categoria])</f>
        <v>Parafinado</v>
      </c>
      <c r="H35" t="s">
        <v>226</v>
      </c>
      <c r="I35" s="19">
        <v>45317.6875</v>
      </c>
    </row>
    <row r="36" spans="1:9" x14ac:dyDescent="0.25">
      <c r="A36" s="10" t="s">
        <v>84</v>
      </c>
      <c r="B36" s="12">
        <v>39</v>
      </c>
      <c r="C36" s="12" t="s">
        <v>218</v>
      </c>
      <c r="D36" s="13">
        <v>45218</v>
      </c>
      <c r="E36" s="14">
        <v>0.33333333333333331</v>
      </c>
      <c r="F36" s="12" t="s">
        <v>91</v>
      </c>
      <c r="G36" s="12" t="str">
        <f>_xlfn.XLOOKUP(entradas_hist[[#This Row],[ID]],total_leyenda[ID],total_leyenda[categoria])</f>
        <v>Parafinado</v>
      </c>
      <c r="H36" t="s">
        <v>226</v>
      </c>
      <c r="I36" s="19">
        <v>45317.6875</v>
      </c>
    </row>
    <row r="37" spans="1:9" x14ac:dyDescent="0.25">
      <c r="A37" s="10" t="s">
        <v>85</v>
      </c>
      <c r="B37" s="12">
        <v>16</v>
      </c>
      <c r="C37" s="12" t="s">
        <v>218</v>
      </c>
      <c r="D37" s="13">
        <v>45218</v>
      </c>
      <c r="E37" s="14">
        <v>0.33333333333333331</v>
      </c>
      <c r="F37" s="12" t="s">
        <v>92</v>
      </c>
      <c r="G37" s="12" t="str">
        <f>_xlfn.XLOOKUP(entradas_hist[[#This Row],[ID]],total_leyenda[ID],total_leyenda[categoria])</f>
        <v>Parafinado</v>
      </c>
      <c r="H37" t="s">
        <v>226</v>
      </c>
      <c r="I37" s="19">
        <v>45317.6875</v>
      </c>
    </row>
    <row r="38" spans="1:9" x14ac:dyDescent="0.25">
      <c r="A38" s="10" t="s">
        <v>86</v>
      </c>
      <c r="B38" s="12">
        <v>37</v>
      </c>
      <c r="C38" s="12" t="s">
        <v>218</v>
      </c>
      <c r="D38" s="13">
        <v>45218</v>
      </c>
      <c r="E38" s="14">
        <v>0.33333333333333331</v>
      </c>
      <c r="F38" s="12" t="s">
        <v>93</v>
      </c>
      <c r="G38" s="12" t="str">
        <f>_xlfn.XLOOKUP(entradas_hist[[#This Row],[ID]],total_leyenda[ID],total_leyenda[categoria])</f>
        <v>Parafinado</v>
      </c>
      <c r="H38" t="s">
        <v>226</v>
      </c>
      <c r="I38" s="19">
        <v>45317.6875</v>
      </c>
    </row>
    <row r="39" spans="1:9" x14ac:dyDescent="0.25">
      <c r="A39" s="10" t="s">
        <v>96</v>
      </c>
      <c r="B39" s="12">
        <v>39</v>
      </c>
      <c r="C39" s="12" t="s">
        <v>218</v>
      </c>
      <c r="D39" s="13">
        <v>45218</v>
      </c>
      <c r="E39" s="14">
        <v>0.33333333333333331</v>
      </c>
      <c r="F39" s="12" t="s">
        <v>73</v>
      </c>
      <c r="G39" s="12" t="str">
        <f>_xlfn.XLOOKUP(entradas_hist[[#This Row],[ID]],total_leyenda[ID],total_leyenda[categoria])</f>
        <v>Parafinado</v>
      </c>
      <c r="H39" t="s">
        <v>226</v>
      </c>
      <c r="I39" s="19">
        <v>45317.6875</v>
      </c>
    </row>
    <row r="40" spans="1:9" x14ac:dyDescent="0.25">
      <c r="A40" s="10" t="s">
        <v>97</v>
      </c>
      <c r="B40" s="12">
        <v>17</v>
      </c>
      <c r="C40" s="12" t="s">
        <v>218</v>
      </c>
      <c r="D40" s="13">
        <v>45218</v>
      </c>
      <c r="E40" s="14">
        <v>0.33333333333333331</v>
      </c>
      <c r="F40" s="12" t="s">
        <v>76</v>
      </c>
      <c r="G40" s="12" t="str">
        <f>_xlfn.XLOOKUP(entradas_hist[[#This Row],[ID]],total_leyenda[ID],total_leyenda[categoria])</f>
        <v>Parafinado</v>
      </c>
      <c r="H40" t="s">
        <v>226</v>
      </c>
      <c r="I40" s="19">
        <v>45317.6875</v>
      </c>
    </row>
    <row r="41" spans="1:9" x14ac:dyDescent="0.25">
      <c r="A41" s="10" t="s">
        <v>98</v>
      </c>
      <c r="B41" s="12">
        <v>23</v>
      </c>
      <c r="C41" s="12" t="s">
        <v>218</v>
      </c>
      <c r="D41" s="13">
        <v>45218</v>
      </c>
      <c r="E41" s="14">
        <v>0.33333333333333331</v>
      </c>
      <c r="F41" s="12" t="s">
        <v>77</v>
      </c>
      <c r="G41" s="12" t="str">
        <f>_xlfn.XLOOKUP(entradas_hist[[#This Row],[ID]],total_leyenda[ID],total_leyenda[categoria])</f>
        <v>Parafinado</v>
      </c>
      <c r="H41" t="s">
        <v>226</v>
      </c>
      <c r="I41" s="19">
        <v>45317.6875</v>
      </c>
    </row>
    <row r="42" spans="1:9" x14ac:dyDescent="0.25">
      <c r="A42" s="10" t="s">
        <v>101</v>
      </c>
      <c r="B42" s="12">
        <v>24</v>
      </c>
      <c r="C42" s="12" t="s">
        <v>218</v>
      </c>
      <c r="D42" s="13">
        <v>45218</v>
      </c>
      <c r="E42" s="14">
        <v>0.33333333333333331</v>
      </c>
      <c r="F42" s="12" t="s">
        <v>102</v>
      </c>
      <c r="G42" s="12" t="str">
        <f>_xlfn.XLOOKUP(entradas_hist[[#This Row],[ID]],total_leyenda[ID],total_leyenda[categoria])</f>
        <v>Parafinado</v>
      </c>
      <c r="H42" t="s">
        <v>226</v>
      </c>
      <c r="I42" s="19">
        <v>45317.6875</v>
      </c>
    </row>
    <row r="43" spans="1:9" x14ac:dyDescent="0.25">
      <c r="A43" s="10" t="s">
        <v>107</v>
      </c>
      <c r="B43" s="12">
        <v>67</v>
      </c>
      <c r="C43" s="12" t="s">
        <v>218</v>
      </c>
      <c r="D43" s="13">
        <v>45218</v>
      </c>
      <c r="E43" s="14">
        <v>0.33333333333333331</v>
      </c>
      <c r="F43" s="12" t="s">
        <v>103</v>
      </c>
      <c r="G43" s="12" t="str">
        <f>_xlfn.XLOOKUP(entradas_hist[[#This Row],[ID]],total_leyenda[ID],total_leyenda[categoria])</f>
        <v>Parafinado</v>
      </c>
      <c r="H43" t="s">
        <v>226</v>
      </c>
      <c r="I43" s="19">
        <v>45317.6875</v>
      </c>
    </row>
    <row r="44" spans="1:9" x14ac:dyDescent="0.25">
      <c r="A44" s="10" t="s">
        <v>108</v>
      </c>
      <c r="B44" s="12">
        <v>73</v>
      </c>
      <c r="C44" s="12" t="s">
        <v>218</v>
      </c>
      <c r="D44" s="13">
        <v>45218</v>
      </c>
      <c r="E44" s="14">
        <v>0.33333333333333331</v>
      </c>
      <c r="F44" s="12" t="s">
        <v>104</v>
      </c>
      <c r="G44" s="12" t="str">
        <f>_xlfn.XLOOKUP(entradas_hist[[#This Row],[ID]],total_leyenda[ID],total_leyenda[categoria])</f>
        <v>Parafinado</v>
      </c>
      <c r="H44" t="s">
        <v>226</v>
      </c>
      <c r="I44" s="19">
        <v>45317.6875</v>
      </c>
    </row>
    <row r="45" spans="1:9" x14ac:dyDescent="0.25">
      <c r="A45" s="10" t="s">
        <v>109</v>
      </c>
      <c r="B45" s="12">
        <v>36</v>
      </c>
      <c r="C45" s="12" t="s">
        <v>218</v>
      </c>
      <c r="D45" s="13">
        <v>45218</v>
      </c>
      <c r="E45" s="14">
        <v>0.33333333333333331</v>
      </c>
      <c r="F45" s="12" t="s">
        <v>105</v>
      </c>
      <c r="G45" s="12" t="str">
        <f>_xlfn.XLOOKUP(entradas_hist[[#This Row],[ID]],total_leyenda[ID],total_leyenda[categoria])</f>
        <v>Parafinado</v>
      </c>
      <c r="H45" t="s">
        <v>226</v>
      </c>
      <c r="I45" s="19">
        <v>45317.6875</v>
      </c>
    </row>
    <row r="46" spans="1:9" x14ac:dyDescent="0.25">
      <c r="A46" s="10" t="s">
        <v>110</v>
      </c>
      <c r="B46" s="12">
        <v>20</v>
      </c>
      <c r="C46" s="12" t="s">
        <v>218</v>
      </c>
      <c r="D46" s="13">
        <v>45218</v>
      </c>
      <c r="E46" s="14">
        <v>0.33333333333333331</v>
      </c>
      <c r="F46" s="12" t="s">
        <v>106</v>
      </c>
      <c r="G46" s="12" t="str">
        <f>_xlfn.XLOOKUP(entradas_hist[[#This Row],[ID]],total_leyenda[ID],total_leyenda[categoria])</f>
        <v>Parafinado</v>
      </c>
      <c r="H46" t="s">
        <v>226</v>
      </c>
      <c r="I46" s="19">
        <v>45317.6875</v>
      </c>
    </row>
    <row r="47" spans="1:9" x14ac:dyDescent="0.25">
      <c r="A47" s="10" t="s">
        <v>114</v>
      </c>
      <c r="B47" s="12">
        <v>27</v>
      </c>
      <c r="C47" s="12" t="s">
        <v>218</v>
      </c>
      <c r="D47" s="13">
        <v>45218</v>
      </c>
      <c r="E47" s="14">
        <v>0.33333333333333331</v>
      </c>
      <c r="F47" s="12" t="s">
        <v>115</v>
      </c>
      <c r="G47" s="12" t="str">
        <f>_xlfn.XLOOKUP(entradas_hist[[#This Row],[ID]],total_leyenda[ID],total_leyenda[categoria])</f>
        <v>Papel Aluminio</v>
      </c>
      <c r="H47" t="s">
        <v>226</v>
      </c>
      <c r="I47" s="19">
        <v>45317.6875</v>
      </c>
    </row>
    <row r="48" spans="1:9" x14ac:dyDescent="0.25">
      <c r="A48" s="10" t="s">
        <v>119</v>
      </c>
      <c r="B48" s="12">
        <v>9</v>
      </c>
      <c r="C48" s="12" t="s">
        <v>218</v>
      </c>
      <c r="D48" s="13">
        <v>45218</v>
      </c>
      <c r="E48" s="14">
        <v>0.33333333333333331</v>
      </c>
      <c r="F48" s="12" t="s">
        <v>116</v>
      </c>
      <c r="G48" s="12" t="str">
        <f>_xlfn.XLOOKUP(entradas_hist[[#This Row],[ID]],total_leyenda[ID],total_leyenda[categoria])</f>
        <v>Papel Aluminio</v>
      </c>
      <c r="H48" t="s">
        <v>226</v>
      </c>
      <c r="I48" s="19">
        <v>45317.6875</v>
      </c>
    </row>
    <row r="49" spans="1:9" x14ac:dyDescent="0.25">
      <c r="A49" s="10" t="s">
        <v>120</v>
      </c>
      <c r="B49" s="12">
        <v>7</v>
      </c>
      <c r="C49" s="12" t="s">
        <v>218</v>
      </c>
      <c r="D49" s="13">
        <v>45218</v>
      </c>
      <c r="E49" s="14">
        <v>0.33333333333333331</v>
      </c>
      <c r="F49" s="12" t="s">
        <v>117</v>
      </c>
      <c r="G49" s="12" t="str">
        <f>_xlfn.XLOOKUP(entradas_hist[[#This Row],[ID]],total_leyenda[ID],total_leyenda[categoria])</f>
        <v>Papel Aluminio</v>
      </c>
      <c r="H49" t="s">
        <v>226</v>
      </c>
      <c r="I49" s="19">
        <v>45317.6875</v>
      </c>
    </row>
    <row r="50" spans="1:9" x14ac:dyDescent="0.25">
      <c r="A50" s="10" t="s">
        <v>121</v>
      </c>
      <c r="B50" s="12">
        <v>2</v>
      </c>
      <c r="C50" s="12" t="s">
        <v>218</v>
      </c>
      <c r="D50" s="13">
        <v>45218</v>
      </c>
      <c r="E50" s="14">
        <v>0.33333333333333331</v>
      </c>
      <c r="F50" s="12" t="s">
        <v>118</v>
      </c>
      <c r="G50" s="12" t="str">
        <f>_xlfn.XLOOKUP(entradas_hist[[#This Row],[ID]],total_leyenda[ID],total_leyenda[categoria])</f>
        <v>Papel Aluminio</v>
      </c>
      <c r="H50" t="s">
        <v>226</v>
      </c>
      <c r="I50" s="19">
        <v>45317.6875</v>
      </c>
    </row>
    <row r="51" spans="1:9" x14ac:dyDescent="0.25">
      <c r="A51" s="10" t="s">
        <v>124</v>
      </c>
      <c r="B51" s="12">
        <v>39</v>
      </c>
      <c r="C51" s="12" t="s">
        <v>218</v>
      </c>
      <c r="D51" s="13">
        <v>45218</v>
      </c>
      <c r="E51" s="14">
        <v>0.33333333333333331</v>
      </c>
      <c r="F51" s="12" t="s">
        <v>122</v>
      </c>
      <c r="G51" s="12" t="str">
        <f>_xlfn.XLOOKUP(entradas_hist[[#This Row],[ID]],total_leyenda[ID],total_leyenda[categoria])</f>
        <v>Mezclador</v>
      </c>
      <c r="H51" t="s">
        <v>226</v>
      </c>
      <c r="I51" s="19">
        <v>45317.6875</v>
      </c>
    </row>
    <row r="52" spans="1:9" x14ac:dyDescent="0.25">
      <c r="A52" s="10" t="s">
        <v>134</v>
      </c>
      <c r="B52" s="12">
        <v>1</v>
      </c>
      <c r="C52" s="12" t="s">
        <v>218</v>
      </c>
      <c r="D52" s="13">
        <v>45218</v>
      </c>
      <c r="E52" s="14">
        <v>0.33333333333333331</v>
      </c>
      <c r="F52" s="12" t="s">
        <v>128</v>
      </c>
      <c r="G52" s="12" t="str">
        <f>_xlfn.XLOOKUP(entradas_hist[[#This Row],[ID]],total_leyenda[ID],total_leyenda[categoria])</f>
        <v>Palillo Bamboo</v>
      </c>
      <c r="H52" t="s">
        <v>226</v>
      </c>
      <c r="I52" s="19">
        <v>45317.6875</v>
      </c>
    </row>
    <row r="53" spans="1:9" x14ac:dyDescent="0.25">
      <c r="A53" s="10" t="s">
        <v>135</v>
      </c>
      <c r="B53" s="12">
        <v>5</v>
      </c>
      <c r="C53" s="12" t="s">
        <v>218</v>
      </c>
      <c r="D53" s="13">
        <v>45218</v>
      </c>
      <c r="E53" s="14">
        <v>0.33333333333333331</v>
      </c>
      <c r="F53" s="12" t="s">
        <v>129</v>
      </c>
      <c r="G53" s="12" t="str">
        <f>_xlfn.XLOOKUP(entradas_hist[[#This Row],[ID]],total_leyenda[ID],total_leyenda[categoria])</f>
        <v>Palillo Bamboo</v>
      </c>
      <c r="H53" t="s">
        <v>226</v>
      </c>
      <c r="I53" s="19">
        <v>45317.6875</v>
      </c>
    </row>
    <row r="54" spans="1:9" x14ac:dyDescent="0.25">
      <c r="A54" s="10" t="s">
        <v>136</v>
      </c>
      <c r="B54" s="12">
        <v>30</v>
      </c>
      <c r="C54" s="12" t="s">
        <v>218</v>
      </c>
      <c r="D54" s="13">
        <v>45218</v>
      </c>
      <c r="E54" s="14">
        <v>0.33333333333333331</v>
      </c>
      <c r="F54" s="12" t="s">
        <v>130</v>
      </c>
      <c r="G54" s="12" t="str">
        <f>_xlfn.XLOOKUP(entradas_hist[[#This Row],[ID]],total_leyenda[ID],total_leyenda[categoria])</f>
        <v>Palillo Bamboo</v>
      </c>
      <c r="H54" t="s">
        <v>226</v>
      </c>
      <c r="I54" s="19">
        <v>45317.6875</v>
      </c>
    </row>
    <row r="55" spans="1:9" x14ac:dyDescent="0.25">
      <c r="A55" s="10" t="s">
        <v>137</v>
      </c>
      <c r="B55" s="12">
        <v>9</v>
      </c>
      <c r="C55" s="12" t="s">
        <v>218</v>
      </c>
      <c r="D55" s="13">
        <v>45218</v>
      </c>
      <c r="E55" s="14">
        <v>0.33333333333333331</v>
      </c>
      <c r="F55" s="12" t="s">
        <v>131</v>
      </c>
      <c r="G55" s="12" t="str">
        <f>_xlfn.XLOOKUP(entradas_hist[[#This Row],[ID]],total_leyenda[ID],total_leyenda[categoria])</f>
        <v>Palillo Bamboo</v>
      </c>
      <c r="H55" t="s">
        <v>226</v>
      </c>
      <c r="I55" s="19">
        <v>45317.6875</v>
      </c>
    </row>
    <row r="56" spans="1:9" x14ac:dyDescent="0.25">
      <c r="A56" s="10" t="s">
        <v>138</v>
      </c>
      <c r="B56" s="12">
        <v>4</v>
      </c>
      <c r="C56" s="12" t="s">
        <v>218</v>
      </c>
      <c r="D56" s="13">
        <v>45218</v>
      </c>
      <c r="E56" s="14">
        <v>0.33333333333333331</v>
      </c>
      <c r="F56" s="12" t="s">
        <v>142</v>
      </c>
      <c r="G56" s="12" t="str">
        <f>_xlfn.XLOOKUP(entradas_hist[[#This Row],[ID]],total_leyenda[ID],total_leyenda[categoria])</f>
        <v>VINIPEL</v>
      </c>
      <c r="H56" t="s">
        <v>226</v>
      </c>
      <c r="I56" s="19">
        <v>45317.6875</v>
      </c>
    </row>
    <row r="57" spans="1:9" x14ac:dyDescent="0.25">
      <c r="A57" s="10" t="s">
        <v>139</v>
      </c>
      <c r="B57" s="12">
        <v>5</v>
      </c>
      <c r="C57" s="12" t="s">
        <v>218</v>
      </c>
      <c r="D57" s="13">
        <v>45218</v>
      </c>
      <c r="E57" s="14">
        <v>0.33333333333333331</v>
      </c>
      <c r="F57" s="12" t="s">
        <v>143</v>
      </c>
      <c r="G57" s="12" t="str">
        <f>_xlfn.XLOOKUP(entradas_hist[[#This Row],[ID]],total_leyenda[ID],total_leyenda[categoria])</f>
        <v>VINIPEL</v>
      </c>
      <c r="H57" t="s">
        <v>226</v>
      </c>
      <c r="I57" s="19">
        <v>45317.6875</v>
      </c>
    </row>
    <row r="58" spans="1:9" x14ac:dyDescent="0.25">
      <c r="A58" s="10" t="s">
        <v>140</v>
      </c>
      <c r="B58" s="12">
        <v>13</v>
      </c>
      <c r="C58" s="12" t="s">
        <v>218</v>
      </c>
      <c r="D58" s="13">
        <v>45218</v>
      </c>
      <c r="E58" s="14">
        <v>0.33333333333333331</v>
      </c>
      <c r="F58" s="12" t="s">
        <v>144</v>
      </c>
      <c r="G58" s="12" t="str">
        <f>_xlfn.XLOOKUP(entradas_hist[[#This Row],[ID]],total_leyenda[ID],total_leyenda[categoria])</f>
        <v>VINIPEL</v>
      </c>
      <c r="H58" t="s">
        <v>226</v>
      </c>
      <c r="I58" s="19">
        <v>45317.6875</v>
      </c>
    </row>
    <row r="59" spans="1:9" x14ac:dyDescent="0.25">
      <c r="A59" s="10" t="s">
        <v>141</v>
      </c>
      <c r="B59" s="12">
        <v>2</v>
      </c>
      <c r="C59" s="12" t="s">
        <v>218</v>
      </c>
      <c r="D59" s="13">
        <v>45218</v>
      </c>
      <c r="E59" s="14">
        <v>0.33333333333333331</v>
      </c>
      <c r="F59" s="12" t="s">
        <v>145</v>
      </c>
      <c r="G59" s="12" t="str">
        <f>_xlfn.XLOOKUP(entradas_hist[[#This Row],[ID]],total_leyenda[ID],total_leyenda[categoria])</f>
        <v>VINIPEL</v>
      </c>
      <c r="H59" t="s">
        <v>226</v>
      </c>
      <c r="I59" s="19">
        <v>45317.6875</v>
      </c>
    </row>
    <row r="60" spans="1:9" x14ac:dyDescent="0.25">
      <c r="A60" s="10" t="s">
        <v>147</v>
      </c>
      <c r="B60" s="12">
        <v>0</v>
      </c>
      <c r="C60" s="12" t="s">
        <v>218</v>
      </c>
      <c r="D60" s="13">
        <v>45218</v>
      </c>
      <c r="E60" s="14">
        <v>0.33333333333333331</v>
      </c>
      <c r="F60" s="12" t="s">
        <v>146</v>
      </c>
      <c r="G60" s="12" t="str">
        <f>_xlfn.XLOOKUP(entradas_hist[[#This Row],[ID]],total_leyenda[ID],total_leyenda[categoria])</f>
        <v>VINIPEL</v>
      </c>
      <c r="H60" t="s">
        <v>226</v>
      </c>
      <c r="I60" s="19">
        <v>45317.6875</v>
      </c>
    </row>
    <row r="61" spans="1:9" x14ac:dyDescent="0.25">
      <c r="A61" s="10" t="s">
        <v>164</v>
      </c>
      <c r="B61" s="12">
        <v>67</v>
      </c>
      <c r="C61" s="12" t="s">
        <v>218</v>
      </c>
      <c r="D61" s="13">
        <v>45218</v>
      </c>
      <c r="E61" s="14">
        <v>0.33333333333333331</v>
      </c>
      <c r="F61" s="12" t="s">
        <v>165</v>
      </c>
      <c r="G61" s="12" t="str">
        <f>_xlfn.XLOOKUP(entradas_hist[[#This Row],[ID]],total_leyenda[ID],total_leyenda[categoria])</f>
        <v>VINIPEL</v>
      </c>
      <c r="H61" t="s">
        <v>226</v>
      </c>
      <c r="I61" s="19">
        <v>45317.6875</v>
      </c>
    </row>
    <row r="62" spans="1:9" x14ac:dyDescent="0.25">
      <c r="A62" s="10" t="s">
        <v>173</v>
      </c>
      <c r="B62" s="12">
        <v>0</v>
      </c>
      <c r="C62" s="12" t="s">
        <v>218</v>
      </c>
      <c r="D62" s="13">
        <v>45218</v>
      </c>
      <c r="E62" s="14">
        <v>0.33333333333333331</v>
      </c>
      <c r="F62" s="12" t="s">
        <v>166</v>
      </c>
      <c r="G62" s="12" t="str">
        <f>_xlfn.XLOOKUP(entradas_hist[[#This Row],[ID]],total_leyenda[ID],total_leyenda[categoria])</f>
        <v>VINIPEL</v>
      </c>
      <c r="H62" t="s">
        <v>226</v>
      </c>
      <c r="I62" s="19">
        <v>45317.6875</v>
      </c>
    </row>
    <row r="63" spans="1:9" x14ac:dyDescent="0.25">
      <c r="A63" s="10" t="s">
        <v>174</v>
      </c>
      <c r="B63" s="12">
        <v>0</v>
      </c>
      <c r="C63" s="12" t="s">
        <v>218</v>
      </c>
      <c r="D63" s="13">
        <v>45218</v>
      </c>
      <c r="E63" s="14">
        <v>0.33333333333333331</v>
      </c>
      <c r="F63" s="12" t="s">
        <v>167</v>
      </c>
      <c r="G63" s="12" t="str">
        <f>_xlfn.XLOOKUP(entradas_hist[[#This Row],[ID]],total_leyenda[ID],total_leyenda[categoria])</f>
        <v>VINIPEL</v>
      </c>
      <c r="H63" t="s">
        <v>226</v>
      </c>
      <c r="I63" s="19">
        <v>45317.6875</v>
      </c>
    </row>
    <row r="64" spans="1:9" x14ac:dyDescent="0.25">
      <c r="A64" s="10" t="s">
        <v>175</v>
      </c>
      <c r="B64" s="12">
        <v>0</v>
      </c>
      <c r="C64" s="12" t="s">
        <v>218</v>
      </c>
      <c r="D64" s="13">
        <v>45218</v>
      </c>
      <c r="E64" s="14">
        <v>0.33333333333333331</v>
      </c>
      <c r="F64" s="12" t="s">
        <v>168</v>
      </c>
      <c r="G64" s="12" t="str">
        <f>_xlfn.XLOOKUP(entradas_hist[[#This Row],[ID]],total_leyenda[ID],total_leyenda[categoria])</f>
        <v>VINIPEL</v>
      </c>
      <c r="H64" t="s">
        <v>226</v>
      </c>
      <c r="I64" s="19">
        <v>45317.6875</v>
      </c>
    </row>
    <row r="65" spans="1:9" x14ac:dyDescent="0.25">
      <c r="A65" s="10" t="s">
        <v>176</v>
      </c>
      <c r="B65" s="12">
        <v>61</v>
      </c>
      <c r="C65" s="12" t="s">
        <v>218</v>
      </c>
      <c r="D65" s="13">
        <v>45218</v>
      </c>
      <c r="E65" s="14">
        <v>0.33333333333333331</v>
      </c>
      <c r="F65" s="12" t="s">
        <v>169</v>
      </c>
      <c r="G65" s="12" t="str">
        <f>_xlfn.XLOOKUP(entradas_hist[[#This Row],[ID]],total_leyenda[ID],total_leyenda[categoria])</f>
        <v>VINIPEL</v>
      </c>
      <c r="H65" t="s">
        <v>226</v>
      </c>
      <c r="I65" s="19">
        <v>45317.6875</v>
      </c>
    </row>
    <row r="66" spans="1:9" x14ac:dyDescent="0.25">
      <c r="A66" s="10" t="s">
        <v>177</v>
      </c>
      <c r="B66" s="12">
        <v>0</v>
      </c>
      <c r="C66" s="12" t="s">
        <v>218</v>
      </c>
      <c r="D66" s="13">
        <v>45218</v>
      </c>
      <c r="E66" s="14">
        <v>0.33333333333333331</v>
      </c>
      <c r="F66" s="12" t="s">
        <v>170</v>
      </c>
      <c r="G66" s="12" t="str">
        <f>_xlfn.XLOOKUP(entradas_hist[[#This Row],[ID]],total_leyenda[ID],total_leyenda[categoria])</f>
        <v>VINIPEL</v>
      </c>
      <c r="H66" t="s">
        <v>226</v>
      </c>
      <c r="I66" s="19">
        <v>45317.6875</v>
      </c>
    </row>
    <row r="67" spans="1:9" x14ac:dyDescent="0.25">
      <c r="A67" s="10" t="s">
        <v>178</v>
      </c>
      <c r="B67" s="12">
        <v>23</v>
      </c>
      <c r="C67" s="12" t="s">
        <v>218</v>
      </c>
      <c r="D67" s="13">
        <v>45218</v>
      </c>
      <c r="E67" s="14">
        <v>0.33333333333333331</v>
      </c>
      <c r="F67" s="12" t="s">
        <v>171</v>
      </c>
      <c r="G67" s="12" t="str">
        <f>_xlfn.XLOOKUP(entradas_hist[[#This Row],[ID]],total_leyenda[ID],total_leyenda[categoria])</f>
        <v>VINIPEL</v>
      </c>
      <c r="H67" t="s">
        <v>226</v>
      </c>
      <c r="I67" s="19">
        <v>45317.6875</v>
      </c>
    </row>
    <row r="68" spans="1:9" x14ac:dyDescent="0.25">
      <c r="A68" s="10" t="s">
        <v>179</v>
      </c>
      <c r="B68" s="12">
        <v>32</v>
      </c>
      <c r="C68" s="12" t="s">
        <v>218</v>
      </c>
      <c r="D68" s="13">
        <v>45218</v>
      </c>
      <c r="E68" s="14">
        <v>0.33333333333333331</v>
      </c>
      <c r="F68" s="12" t="s">
        <v>172</v>
      </c>
      <c r="G68" s="12" t="str">
        <f>_xlfn.XLOOKUP(entradas_hist[[#This Row],[ID]],total_leyenda[ID],total_leyenda[categoria])</f>
        <v>VINIPEL</v>
      </c>
      <c r="H68" t="s">
        <v>226</v>
      </c>
      <c r="I68" s="19">
        <v>45317.6875</v>
      </c>
    </row>
    <row r="69" spans="1:9" x14ac:dyDescent="0.25">
      <c r="A69" s="10" t="s">
        <v>151</v>
      </c>
      <c r="B69" s="12">
        <v>53</v>
      </c>
      <c r="C69" s="12" t="s">
        <v>218</v>
      </c>
      <c r="D69" s="13">
        <v>45218</v>
      </c>
      <c r="E69" s="14">
        <v>0.33333333333333331</v>
      </c>
      <c r="F69" s="12" t="s">
        <v>150</v>
      </c>
      <c r="G69" s="12" t="str">
        <f>_xlfn.XLOOKUP(entradas_hist[[#This Row],[ID]],total_leyenda[ID],total_leyenda[categoria])</f>
        <v>Bolsillo Aluminio</v>
      </c>
      <c r="H69" t="s">
        <v>226</v>
      </c>
      <c r="I69" s="19">
        <v>45317.6875</v>
      </c>
    </row>
    <row r="70" spans="1:9" x14ac:dyDescent="0.25">
      <c r="A70" s="10" t="s">
        <v>156</v>
      </c>
      <c r="B70" s="12">
        <v>4</v>
      </c>
      <c r="C70" s="12" t="s">
        <v>218</v>
      </c>
      <c r="D70" s="13">
        <v>45218</v>
      </c>
      <c r="E70" s="14">
        <v>0.33333333333333331</v>
      </c>
      <c r="F70" s="12" t="s">
        <v>152</v>
      </c>
      <c r="G70" s="12" t="str">
        <f>_xlfn.XLOOKUP(entradas_hist[[#This Row],[ID]],total_leyenda[ID],total_leyenda[categoria])</f>
        <v>Bolsillo Aluminio</v>
      </c>
      <c r="H70" t="s">
        <v>226</v>
      </c>
      <c r="I70" s="19">
        <v>45317.6875</v>
      </c>
    </row>
    <row r="71" spans="1:9" x14ac:dyDescent="0.25">
      <c r="A71" s="10" t="s">
        <v>157</v>
      </c>
      <c r="B71" s="12">
        <v>49</v>
      </c>
      <c r="C71" s="12" t="s">
        <v>218</v>
      </c>
      <c r="D71" s="13">
        <v>45218</v>
      </c>
      <c r="E71" s="14">
        <v>0.33333333333333331</v>
      </c>
      <c r="F71" s="12" t="s">
        <v>153</v>
      </c>
      <c r="G71" s="12" t="str">
        <f>_xlfn.XLOOKUP(entradas_hist[[#This Row],[ID]],total_leyenda[ID],total_leyenda[categoria])</f>
        <v>Bolsillo Aluminio</v>
      </c>
      <c r="H71" t="s">
        <v>226</v>
      </c>
      <c r="I71" s="19">
        <v>45317.6875</v>
      </c>
    </row>
    <row r="72" spans="1:9" x14ac:dyDescent="0.25">
      <c r="A72" s="10" t="s">
        <v>158</v>
      </c>
      <c r="B72" s="12">
        <v>3</v>
      </c>
      <c r="C72" s="12" t="s">
        <v>218</v>
      </c>
      <c r="D72" s="13">
        <v>45218</v>
      </c>
      <c r="E72" s="14">
        <v>0.33333333333333331</v>
      </c>
      <c r="F72" s="12" t="s">
        <v>154</v>
      </c>
      <c r="G72" s="12" t="str">
        <f>_xlfn.XLOOKUP(entradas_hist[[#This Row],[ID]],total_leyenda[ID],total_leyenda[categoria])</f>
        <v>Bolsillo Aluminio</v>
      </c>
      <c r="H72" t="s">
        <v>226</v>
      </c>
      <c r="I72" s="19">
        <v>45317.6875</v>
      </c>
    </row>
    <row r="73" spans="1:9" x14ac:dyDescent="0.25">
      <c r="A73" s="10" t="s">
        <v>159</v>
      </c>
      <c r="B73" s="12">
        <v>36</v>
      </c>
      <c r="C73" s="12" t="s">
        <v>218</v>
      </c>
      <c r="D73" s="13">
        <v>45218</v>
      </c>
      <c r="E73" s="14">
        <v>0.33333333333333331</v>
      </c>
      <c r="F73" s="12" t="s">
        <v>155</v>
      </c>
      <c r="G73" s="12" t="str">
        <f>_xlfn.XLOOKUP(entradas_hist[[#This Row],[ID]],total_leyenda[ID],total_leyenda[categoria])</f>
        <v>Bolsillo Aluminio</v>
      </c>
      <c r="H73" t="s">
        <v>226</v>
      </c>
      <c r="I73" s="19">
        <v>45317.6875</v>
      </c>
    </row>
    <row r="74" spans="1:9" x14ac:dyDescent="0.25">
      <c r="A74" s="10" t="s">
        <v>190</v>
      </c>
      <c r="B74" s="12">
        <v>69</v>
      </c>
      <c r="C74" s="12" t="s">
        <v>218</v>
      </c>
      <c r="D74" s="13">
        <v>45218</v>
      </c>
      <c r="E74" s="14">
        <v>0.33333333333333331</v>
      </c>
      <c r="F74" s="12" t="s">
        <v>191</v>
      </c>
      <c r="G74" s="12" t="str">
        <f>_xlfn.XLOOKUP(entradas_hist[[#This Row],[ID]],total_leyenda[ID],total_leyenda[categoria])</f>
        <v>Bolsa Polipropileno</v>
      </c>
      <c r="H74" t="s">
        <v>226</v>
      </c>
      <c r="I74" s="19">
        <v>45317.6875</v>
      </c>
    </row>
    <row r="75" spans="1:9" x14ac:dyDescent="0.25">
      <c r="A75" s="10" t="s">
        <v>203</v>
      </c>
      <c r="B75" s="12">
        <v>67</v>
      </c>
      <c r="C75" s="12" t="s">
        <v>218</v>
      </c>
      <c r="D75" s="13">
        <v>45218</v>
      </c>
      <c r="E75" s="14">
        <v>0.33333333333333331</v>
      </c>
      <c r="F75" s="12" t="s">
        <v>192</v>
      </c>
      <c r="G75" s="12" t="str">
        <f>_xlfn.XLOOKUP(entradas_hist[[#This Row],[ID]],total_leyenda[ID],total_leyenda[categoria])</f>
        <v>Bolsa Polipropileno</v>
      </c>
      <c r="H75" t="s">
        <v>226</v>
      </c>
      <c r="I75" s="19">
        <v>45317.6875</v>
      </c>
    </row>
    <row r="76" spans="1:9" x14ac:dyDescent="0.25">
      <c r="A76" s="10" t="s">
        <v>204</v>
      </c>
      <c r="B76" s="12">
        <v>4</v>
      </c>
      <c r="C76" s="12" t="s">
        <v>218</v>
      </c>
      <c r="D76" s="13">
        <v>45218</v>
      </c>
      <c r="E76" s="14">
        <v>0.33333333333333331</v>
      </c>
      <c r="F76" s="12" t="s">
        <v>193</v>
      </c>
      <c r="G76" s="12" t="str">
        <f>_xlfn.XLOOKUP(entradas_hist[[#This Row],[ID]],total_leyenda[ID],total_leyenda[categoria])</f>
        <v>Bolsa Polipropileno</v>
      </c>
      <c r="H76" t="s">
        <v>226</v>
      </c>
      <c r="I76" s="19">
        <v>45317.6875</v>
      </c>
    </row>
    <row r="77" spans="1:9" x14ac:dyDescent="0.25">
      <c r="A77" s="10" t="s">
        <v>205</v>
      </c>
      <c r="B77" s="12">
        <v>10</v>
      </c>
      <c r="C77" s="12" t="s">
        <v>218</v>
      </c>
      <c r="D77" s="13">
        <v>45218</v>
      </c>
      <c r="E77" s="14">
        <v>0.33333333333333331</v>
      </c>
      <c r="F77" s="12" t="s">
        <v>194</v>
      </c>
      <c r="G77" s="12" t="str">
        <f>_xlfn.XLOOKUP(entradas_hist[[#This Row],[ID]],total_leyenda[ID],total_leyenda[categoria])</f>
        <v>Bolsa Polipropileno</v>
      </c>
      <c r="H77" t="s">
        <v>226</v>
      </c>
      <c r="I77" s="19">
        <v>45317.6875</v>
      </c>
    </row>
    <row r="78" spans="1:9" x14ac:dyDescent="0.25">
      <c r="A78" s="10" t="s">
        <v>206</v>
      </c>
      <c r="B78" s="12">
        <v>15</v>
      </c>
      <c r="C78" s="12" t="s">
        <v>218</v>
      </c>
      <c r="D78" s="13">
        <v>45218</v>
      </c>
      <c r="E78" s="14">
        <v>0.33333333333333331</v>
      </c>
      <c r="F78" s="12" t="s">
        <v>195</v>
      </c>
      <c r="G78" s="12" t="str">
        <f>_xlfn.XLOOKUP(entradas_hist[[#This Row],[ID]],total_leyenda[ID],total_leyenda[categoria])</f>
        <v>Bolsa Polipropileno</v>
      </c>
      <c r="H78" t="s">
        <v>226</v>
      </c>
      <c r="I78" s="19">
        <v>45317.6875</v>
      </c>
    </row>
    <row r="79" spans="1:9" x14ac:dyDescent="0.25">
      <c r="A79" s="10" t="s">
        <v>207</v>
      </c>
      <c r="B79" s="12">
        <v>5</v>
      </c>
      <c r="C79" s="12" t="s">
        <v>218</v>
      </c>
      <c r="D79" s="13">
        <v>45218</v>
      </c>
      <c r="E79" s="14">
        <v>0.33333333333333331</v>
      </c>
      <c r="F79" s="12" t="s">
        <v>196</v>
      </c>
      <c r="G79" s="12" t="str">
        <f>_xlfn.XLOOKUP(entradas_hist[[#This Row],[ID]],total_leyenda[ID],total_leyenda[categoria])</f>
        <v>Bolsa Polipropileno</v>
      </c>
      <c r="H79" t="s">
        <v>226</v>
      </c>
      <c r="I79" s="19">
        <v>45317.6875</v>
      </c>
    </row>
    <row r="80" spans="1:9" x14ac:dyDescent="0.25">
      <c r="A80" s="10" t="s">
        <v>208</v>
      </c>
      <c r="B80" s="12">
        <v>4</v>
      </c>
      <c r="C80" s="12" t="s">
        <v>218</v>
      </c>
      <c r="D80" s="13">
        <v>45218</v>
      </c>
      <c r="E80" s="14">
        <v>0.33333333333333331</v>
      </c>
      <c r="F80" s="12" t="s">
        <v>197</v>
      </c>
      <c r="G80" s="12" t="str">
        <f>_xlfn.XLOOKUP(entradas_hist[[#This Row],[ID]],total_leyenda[ID],total_leyenda[categoria])</f>
        <v>Bolsa Polipropileno</v>
      </c>
      <c r="H80" t="s">
        <v>226</v>
      </c>
      <c r="I80" s="19">
        <v>45317.6875</v>
      </c>
    </row>
    <row r="81" spans="1:9" x14ac:dyDescent="0.25">
      <c r="A81" s="10" t="s">
        <v>209</v>
      </c>
      <c r="B81" s="12">
        <v>0</v>
      </c>
      <c r="C81" s="12" t="s">
        <v>218</v>
      </c>
      <c r="D81" s="13">
        <v>45218</v>
      </c>
      <c r="E81" s="14">
        <v>0.33333333333333331</v>
      </c>
      <c r="F81" s="12" t="s">
        <v>198</v>
      </c>
      <c r="G81" s="12" t="str">
        <f>_xlfn.XLOOKUP(entradas_hist[[#This Row],[ID]],total_leyenda[ID],total_leyenda[categoria])</f>
        <v>Bolsa Polipropileno</v>
      </c>
      <c r="H81" t="s">
        <v>226</v>
      </c>
      <c r="I81" s="19">
        <v>45317.6875</v>
      </c>
    </row>
    <row r="82" spans="1:9" x14ac:dyDescent="0.25">
      <c r="A82" s="10" t="s">
        <v>210</v>
      </c>
      <c r="B82" s="12">
        <v>10</v>
      </c>
      <c r="C82" s="12" t="s">
        <v>218</v>
      </c>
      <c r="D82" s="13">
        <v>45218</v>
      </c>
      <c r="E82" s="14">
        <v>0.33333333333333331</v>
      </c>
      <c r="F82" s="12" t="s">
        <v>199</v>
      </c>
      <c r="G82" s="12" t="str">
        <f>_xlfn.XLOOKUP(entradas_hist[[#This Row],[ID]],total_leyenda[ID],total_leyenda[categoria])</f>
        <v>Bolsa Polipropileno</v>
      </c>
      <c r="H82" t="s">
        <v>226</v>
      </c>
      <c r="I82" s="19">
        <v>45317.6875</v>
      </c>
    </row>
    <row r="83" spans="1:9" x14ac:dyDescent="0.25">
      <c r="A83" s="10" t="s">
        <v>211</v>
      </c>
      <c r="B83" s="12">
        <v>0</v>
      </c>
      <c r="C83" s="12" t="s">
        <v>218</v>
      </c>
      <c r="D83" s="13">
        <v>45218</v>
      </c>
      <c r="E83" s="14">
        <v>0.33333333333333331</v>
      </c>
      <c r="F83" s="12" t="s">
        <v>200</v>
      </c>
      <c r="G83" s="12" t="str">
        <f>_xlfn.XLOOKUP(entradas_hist[[#This Row],[ID]],total_leyenda[ID],total_leyenda[categoria])</f>
        <v>Bolsa Polipropileno</v>
      </c>
      <c r="H83" t="s">
        <v>226</v>
      </c>
      <c r="I83" s="19">
        <v>45317.6875</v>
      </c>
    </row>
    <row r="84" spans="1:9" x14ac:dyDescent="0.25">
      <c r="A84" s="10" t="s">
        <v>212</v>
      </c>
      <c r="B84" s="12">
        <v>0</v>
      </c>
      <c r="C84" s="12" t="s">
        <v>218</v>
      </c>
      <c r="D84" s="13">
        <v>45218</v>
      </c>
      <c r="E84" s="14">
        <v>0.33333333333333331</v>
      </c>
      <c r="F84" s="12" t="s">
        <v>201</v>
      </c>
      <c r="G84" s="12" t="str">
        <f>_xlfn.XLOOKUP(entradas_hist[[#This Row],[ID]],total_leyenda[ID],total_leyenda[categoria])</f>
        <v>Bolsa Polipropileno</v>
      </c>
      <c r="H84" t="s">
        <v>226</v>
      </c>
      <c r="I84" s="19">
        <v>45317.6875</v>
      </c>
    </row>
    <row r="85" spans="1:9" x14ac:dyDescent="0.25">
      <c r="A85" s="10" t="s">
        <v>213</v>
      </c>
      <c r="B85" s="12">
        <v>0</v>
      </c>
      <c r="C85" s="12" t="s">
        <v>218</v>
      </c>
      <c r="D85" s="13">
        <v>45218</v>
      </c>
      <c r="E85" s="14">
        <v>0.33333333333333331</v>
      </c>
      <c r="F85" s="12" t="s">
        <v>202</v>
      </c>
      <c r="G85" s="12" t="str">
        <f>_xlfn.XLOOKUP(entradas_hist[[#This Row],[ID]],total_leyenda[ID],total_leyenda[categoria])</f>
        <v>Bolsa Polipropileno</v>
      </c>
      <c r="H85" t="s">
        <v>226</v>
      </c>
      <c r="I85" s="19">
        <v>45317.6875</v>
      </c>
    </row>
    <row r="86" spans="1:9" x14ac:dyDescent="0.25">
      <c r="A86" s="10" t="s">
        <v>184</v>
      </c>
      <c r="B86" s="12">
        <v>28</v>
      </c>
      <c r="C86" s="12" t="s">
        <v>218</v>
      </c>
      <c r="D86" s="13">
        <v>45218</v>
      </c>
      <c r="E86" s="14">
        <v>0.33333333333333331</v>
      </c>
      <c r="F86" s="12" t="s">
        <v>180</v>
      </c>
      <c r="G86" s="12" t="str">
        <f>_xlfn.XLOOKUP(entradas_hist[[#This Row],[ID]],total_leyenda[ID],total_leyenda[categoria])</f>
        <v>PORTA</v>
      </c>
      <c r="H86" t="s">
        <v>226</v>
      </c>
      <c r="I86" s="19">
        <v>45317.6875</v>
      </c>
    </row>
    <row r="87" spans="1:9" x14ac:dyDescent="0.25">
      <c r="A87" s="10" t="s">
        <v>220</v>
      </c>
      <c r="B87" s="12">
        <v>0</v>
      </c>
      <c r="C87" s="12" t="s">
        <v>218</v>
      </c>
      <c r="D87" s="13">
        <v>45218</v>
      </c>
      <c r="E87" s="14">
        <v>0.33333333333333331</v>
      </c>
      <c r="F87" s="12" t="s">
        <v>185</v>
      </c>
      <c r="G87" s="12" t="str">
        <f>_xlfn.XLOOKUP(entradas_hist[[#This Row],[ID]],total_leyenda[ID],total_leyenda[categoria])</f>
        <v>PORTA</v>
      </c>
      <c r="H87" t="s">
        <v>226</v>
      </c>
      <c r="I87" s="19">
        <v>45317.6875</v>
      </c>
    </row>
    <row r="88" spans="1:9" x14ac:dyDescent="0.25">
      <c r="A88" s="10" t="s">
        <v>221</v>
      </c>
      <c r="B88" s="12">
        <v>13</v>
      </c>
      <c r="C88" s="12" t="s">
        <v>218</v>
      </c>
      <c r="D88" s="13">
        <v>45218</v>
      </c>
      <c r="E88" s="14">
        <v>0.33333333333333331</v>
      </c>
      <c r="F88" s="12" t="s">
        <v>186</v>
      </c>
      <c r="G88" s="12" t="str">
        <f>_xlfn.XLOOKUP(entradas_hist[[#This Row],[ID]],total_leyenda[ID],total_leyenda[categoria])</f>
        <v>PORTA</v>
      </c>
      <c r="H88" t="s">
        <v>226</v>
      </c>
      <c r="I88" s="19">
        <v>45317.6875</v>
      </c>
    </row>
    <row r="89" spans="1:9" x14ac:dyDescent="0.25">
      <c r="A89" s="10" t="s">
        <v>222</v>
      </c>
      <c r="B89" s="12">
        <v>39</v>
      </c>
      <c r="C89" s="12" t="s">
        <v>218</v>
      </c>
      <c r="D89" s="13">
        <v>45218</v>
      </c>
      <c r="E89" s="14">
        <v>0.33333333333333331</v>
      </c>
      <c r="F89" s="12" t="s">
        <v>187</v>
      </c>
      <c r="G89" s="12" t="str">
        <f>_xlfn.XLOOKUP(entradas_hist[[#This Row],[ID]],total_leyenda[ID],total_leyenda[categoria])</f>
        <v>PORTA</v>
      </c>
      <c r="H89" t="s">
        <v>226</v>
      </c>
      <c r="I89" s="19">
        <v>45317.6875</v>
      </c>
    </row>
  </sheetData>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02D3-A2EE-401C-BB4B-B79828B29B64}">
  <sheetPr codeName="Sheet5"/>
  <dimension ref="A1:U22"/>
  <sheetViews>
    <sheetView zoomScaleNormal="100" workbookViewId="0">
      <selection activeCell="N12" sqref="N12"/>
    </sheetView>
  </sheetViews>
  <sheetFormatPr defaultRowHeight="15" x14ac:dyDescent="0.25"/>
  <cols>
    <col min="1" max="1" width="14.42578125" bestFit="1" customWidth="1"/>
    <col min="2" max="2" width="10.7109375" bestFit="1" customWidth="1"/>
    <col min="3" max="3" width="8.85546875" bestFit="1" customWidth="1"/>
    <col min="4" max="4" width="12" bestFit="1" customWidth="1"/>
    <col min="5" max="5" width="17.5703125" bestFit="1" customWidth="1"/>
    <col min="6" max="6" width="16.28515625" bestFit="1" customWidth="1"/>
    <col min="7" max="7" width="32" bestFit="1" customWidth="1"/>
    <col min="8" max="9" width="20.28515625" customWidth="1"/>
    <col min="10" max="10" width="13.140625" bestFit="1" customWidth="1"/>
    <col min="11" max="11" width="12.7109375" bestFit="1" customWidth="1"/>
    <col min="12" max="12" width="31.85546875" customWidth="1"/>
    <col min="13" max="13" width="13.85546875" bestFit="1" customWidth="1"/>
    <col min="14" max="14" width="19.28515625" bestFit="1" customWidth="1"/>
    <col min="15" max="15" width="32.7109375" customWidth="1"/>
    <col min="17" max="17" width="19.28515625" style="17" bestFit="1" customWidth="1"/>
  </cols>
  <sheetData>
    <row r="1" spans="1:21" x14ac:dyDescent="0.25">
      <c r="A1" t="s">
        <v>389</v>
      </c>
      <c r="B1" s="8" t="s">
        <v>390</v>
      </c>
      <c r="C1" s="9" t="s">
        <v>391</v>
      </c>
      <c r="D1" s="83" t="s">
        <v>583</v>
      </c>
      <c r="E1" s="28" t="s">
        <v>584</v>
      </c>
      <c r="F1" t="s">
        <v>392</v>
      </c>
      <c r="G1" s="7" t="s">
        <v>1</v>
      </c>
      <c r="H1" t="s">
        <v>2</v>
      </c>
      <c r="I1" t="s">
        <v>409</v>
      </c>
      <c r="J1" t="s">
        <v>585</v>
      </c>
      <c r="K1" t="s">
        <v>571</v>
      </c>
      <c r="L1" t="s">
        <v>388</v>
      </c>
      <c r="M1" t="s">
        <v>223</v>
      </c>
      <c r="N1" s="17" t="s">
        <v>225</v>
      </c>
      <c r="O1" s="26" t="s">
        <v>371</v>
      </c>
      <c r="Q1">
        <f ca="1">OFFSET(A1,COUNTA(salidas_hist[FACTURA_ID]),0,1,1) + 1</f>
        <v>14</v>
      </c>
    </row>
    <row r="2" spans="1:21" x14ac:dyDescent="0.25">
      <c r="A2" s="1" t="s">
        <v>381</v>
      </c>
      <c r="B2" s="3">
        <v>45219</v>
      </c>
      <c r="C2" s="5">
        <v>0.33333333333333331</v>
      </c>
      <c r="D2" s="5"/>
      <c r="E2" s="5"/>
      <c r="F2" s="1" t="s">
        <v>9</v>
      </c>
      <c r="G2" t="s">
        <v>7</v>
      </c>
      <c r="H2">
        <v>3</v>
      </c>
      <c r="I2">
        <v>284.51</v>
      </c>
      <c r="L2">
        <v>853.53</v>
      </c>
      <c r="M2" t="s">
        <v>227</v>
      </c>
      <c r="N2" s="20">
        <v>45317.693055555559</v>
      </c>
      <c r="O2" t="str">
        <f>_xlfn.XLOOKUP(salidas_hist[[#This Row],[PRODUCTO_ID]],total_leyenda[ID],total_leyenda[categoria])</f>
        <v>Parafinado</v>
      </c>
      <c r="Q2"/>
    </row>
    <row r="3" spans="1:21" x14ac:dyDescent="0.25">
      <c r="A3" s="1" t="s">
        <v>382</v>
      </c>
      <c r="B3" s="3">
        <v>45224</v>
      </c>
      <c r="C3" s="5">
        <v>0.33333333333333331</v>
      </c>
      <c r="D3" s="5"/>
      <c r="E3" s="5"/>
      <c r="F3" s="1" t="s">
        <v>9</v>
      </c>
      <c r="G3" t="s">
        <v>7</v>
      </c>
      <c r="H3">
        <v>2</v>
      </c>
      <c r="I3">
        <v>1019.05</v>
      </c>
      <c r="L3">
        <v>2038.1</v>
      </c>
      <c r="M3" t="s">
        <v>227</v>
      </c>
      <c r="N3" s="20">
        <v>45317.693055555559</v>
      </c>
      <c r="O3" t="str">
        <f>_xlfn.XLOOKUP(salidas_hist[[#This Row],[PRODUCTO_ID]],total_leyenda[ID],total_leyenda[categoria])</f>
        <v>Parafinado</v>
      </c>
      <c r="Q3"/>
    </row>
    <row r="4" spans="1:21" x14ac:dyDescent="0.25">
      <c r="A4" s="1" t="s">
        <v>383</v>
      </c>
      <c r="B4" s="3">
        <v>45224</v>
      </c>
      <c r="C4" s="5">
        <v>0.33333333333333331</v>
      </c>
      <c r="D4" s="5"/>
      <c r="E4" s="5"/>
      <c r="F4" s="1" t="s">
        <v>9</v>
      </c>
      <c r="G4" t="s">
        <v>7</v>
      </c>
      <c r="H4">
        <v>60</v>
      </c>
      <c r="I4">
        <v>325.97000000000003</v>
      </c>
      <c r="L4">
        <v>19558.2</v>
      </c>
      <c r="M4" t="s">
        <v>227</v>
      </c>
      <c r="N4" s="20">
        <v>45317.693055555559</v>
      </c>
      <c r="O4" t="str">
        <f>_xlfn.XLOOKUP(salidas_hist[[#This Row],[PRODUCTO_ID]],total_leyenda[ID],total_leyenda[categoria])</f>
        <v>Parafinado</v>
      </c>
      <c r="Q4"/>
    </row>
    <row r="5" spans="1:21" x14ac:dyDescent="0.25">
      <c r="A5" s="1" t="s">
        <v>384</v>
      </c>
      <c r="B5" s="3">
        <v>45255</v>
      </c>
      <c r="C5" s="5">
        <v>0.33333333333333331</v>
      </c>
      <c r="D5" s="5"/>
      <c r="E5" s="5"/>
      <c r="F5" s="1" t="s">
        <v>9</v>
      </c>
      <c r="G5" t="s">
        <v>7</v>
      </c>
      <c r="H5">
        <v>5</v>
      </c>
      <c r="I5">
        <v>544.63</v>
      </c>
      <c r="L5">
        <v>2723.15</v>
      </c>
      <c r="M5" t="s">
        <v>227</v>
      </c>
      <c r="N5" s="20">
        <v>45317.693055555559</v>
      </c>
      <c r="O5" t="str">
        <f>_xlfn.XLOOKUP(salidas_hist[[#This Row],[PRODUCTO_ID]],total_leyenda[ID],total_leyenda[categoria])</f>
        <v>Parafinado</v>
      </c>
      <c r="Q5"/>
    </row>
    <row r="6" spans="1:21" x14ac:dyDescent="0.25">
      <c r="A6" s="1" t="s">
        <v>385</v>
      </c>
      <c r="B6" s="3">
        <v>45302</v>
      </c>
      <c r="C6" s="5">
        <v>0.33333333333333331</v>
      </c>
      <c r="D6" s="5"/>
      <c r="E6" s="5"/>
      <c r="F6" s="1" t="s">
        <v>9</v>
      </c>
      <c r="G6" t="s">
        <v>7</v>
      </c>
      <c r="H6">
        <v>5</v>
      </c>
      <c r="I6">
        <v>676.68</v>
      </c>
      <c r="L6">
        <v>3383.4</v>
      </c>
      <c r="M6" t="s">
        <v>227</v>
      </c>
      <c r="N6" s="20">
        <v>45317.693055555559</v>
      </c>
      <c r="O6" t="str">
        <f>_xlfn.XLOOKUP(salidas_hist[[#This Row],[PRODUCTO_ID]],total_leyenda[ID],total_leyenda[categoria])</f>
        <v>Parafinado</v>
      </c>
      <c r="Q6"/>
    </row>
    <row r="7" spans="1:21" x14ac:dyDescent="0.25">
      <c r="A7" s="1" t="s">
        <v>386</v>
      </c>
      <c r="B7" s="3">
        <v>45255</v>
      </c>
      <c r="C7" s="5">
        <v>0.33333333333333331</v>
      </c>
      <c r="D7" s="5"/>
      <c r="E7" s="5"/>
      <c r="F7" s="1" t="s">
        <v>11</v>
      </c>
      <c r="G7" t="s">
        <v>7</v>
      </c>
      <c r="H7">
        <v>20</v>
      </c>
      <c r="I7">
        <v>1003.57</v>
      </c>
      <c r="J7" t="s">
        <v>224</v>
      </c>
      <c r="L7">
        <v>20071.400000000001</v>
      </c>
      <c r="M7" t="s">
        <v>227</v>
      </c>
      <c r="N7" s="20">
        <v>45317.698611111111</v>
      </c>
      <c r="O7" t="str">
        <f>_xlfn.XLOOKUP(salidas_hist[[#This Row],[PRODUCTO_ID]],total_leyenda[ID],total_leyenda[categoria])</f>
        <v>Parafinado</v>
      </c>
      <c r="Q7"/>
    </row>
    <row r="8" spans="1:21" x14ac:dyDescent="0.25">
      <c r="A8" s="1" t="s">
        <v>387</v>
      </c>
      <c r="B8" s="3">
        <v>45302</v>
      </c>
      <c r="C8" s="5">
        <v>0.33333333333333331</v>
      </c>
      <c r="D8" s="5"/>
      <c r="E8" s="5"/>
      <c r="F8" s="1" t="s">
        <v>11</v>
      </c>
      <c r="G8" t="s">
        <v>10</v>
      </c>
      <c r="H8">
        <v>3</v>
      </c>
      <c r="I8">
        <v>284.51</v>
      </c>
      <c r="J8" t="s">
        <v>224</v>
      </c>
      <c r="L8">
        <v>853.53</v>
      </c>
      <c r="M8" t="s">
        <v>227</v>
      </c>
      <c r="N8" s="20">
        <v>45317.698611111111</v>
      </c>
      <c r="O8" t="str">
        <f>_xlfn.XLOOKUP(salidas_hist[[#This Row],[PRODUCTO_ID]],total_leyenda[ID],total_leyenda[categoria])</f>
        <v>Parafinado</v>
      </c>
      <c r="Q8"/>
    </row>
    <row r="9" spans="1:21" x14ac:dyDescent="0.25">
      <c r="A9" s="1">
        <v>8</v>
      </c>
      <c r="B9" s="3">
        <v>45329</v>
      </c>
      <c r="C9" s="5">
        <v>0.50319444444444439</v>
      </c>
      <c r="D9" s="5"/>
      <c r="E9" s="5" t="s">
        <v>393</v>
      </c>
      <c r="F9" s="1" t="s">
        <v>18</v>
      </c>
      <c r="G9" s="1" t="s">
        <v>22</v>
      </c>
      <c r="H9">
        <v>2</v>
      </c>
      <c r="I9">
        <v>1019.05</v>
      </c>
      <c r="J9" t="s">
        <v>224</v>
      </c>
      <c r="L9">
        <v>2038.1</v>
      </c>
      <c r="M9" t="s">
        <v>227</v>
      </c>
      <c r="N9" s="20">
        <v>45329.503194444442</v>
      </c>
      <c r="O9" t="str">
        <f>_xlfn.XLOOKUP(salidas_hist[[#This Row],[PRODUCTO_ID]],total_leyenda[ID],total_leyenda[categoria])</f>
        <v>Parafinado</v>
      </c>
    </row>
    <row r="10" spans="1:21" x14ac:dyDescent="0.25">
      <c r="A10" s="1">
        <v>9</v>
      </c>
      <c r="B10" s="3">
        <v>45329</v>
      </c>
      <c r="C10" s="5">
        <v>0.50603009259259257</v>
      </c>
      <c r="D10" s="5"/>
      <c r="E10" s="5" t="s">
        <v>393</v>
      </c>
      <c r="F10" s="1" t="s">
        <v>18</v>
      </c>
      <c r="G10" s="1" t="s">
        <v>22</v>
      </c>
      <c r="H10">
        <v>60</v>
      </c>
      <c r="I10">
        <v>325.97000000000003</v>
      </c>
      <c r="J10" t="s">
        <v>224</v>
      </c>
      <c r="L10">
        <v>19558.2</v>
      </c>
      <c r="M10" t="s">
        <v>227</v>
      </c>
      <c r="N10" s="20">
        <v>45329.506030092591</v>
      </c>
      <c r="O10" t="str">
        <f>_xlfn.XLOOKUP(salidas_hist[[#This Row],[PRODUCTO_ID]],total_leyenda[ID],total_leyenda[categoria])</f>
        <v>Parafinado</v>
      </c>
    </row>
    <row r="11" spans="1:21" x14ac:dyDescent="0.25">
      <c r="A11" s="1">
        <v>10</v>
      </c>
      <c r="B11" s="3">
        <v>45357</v>
      </c>
      <c r="C11" s="5">
        <v>0.65482638888888889</v>
      </c>
      <c r="D11" s="5"/>
      <c r="E11" s="5" t="s">
        <v>393</v>
      </c>
      <c r="F11" s="1" t="s">
        <v>9</v>
      </c>
      <c r="G11" s="1" t="s">
        <v>7</v>
      </c>
      <c r="H11">
        <v>3</v>
      </c>
      <c r="I11">
        <v>284.51</v>
      </c>
      <c r="L11">
        <v>853.53</v>
      </c>
      <c r="M11" t="s">
        <v>227</v>
      </c>
      <c r="N11" s="20">
        <v>45357.654826388891</v>
      </c>
      <c r="O11" t="str">
        <f>_xlfn.XLOOKUP(salidas_hist[[#This Row],[PRODUCTO_ID]],total_leyenda[ID],total_leyenda[categoria])</f>
        <v>Parafinado</v>
      </c>
    </row>
    <row r="12" spans="1:21" ht="16.5" x14ac:dyDescent="0.3">
      <c r="A12" s="1">
        <v>10</v>
      </c>
      <c r="B12" s="3">
        <v>45357</v>
      </c>
      <c r="C12" s="5">
        <v>0.65482638888888889</v>
      </c>
      <c r="D12" s="5"/>
      <c r="E12" s="5" t="s">
        <v>393</v>
      </c>
      <c r="F12" s="1" t="s">
        <v>11</v>
      </c>
      <c r="G12" s="1" t="s">
        <v>10</v>
      </c>
      <c r="H12">
        <v>2</v>
      </c>
      <c r="I12">
        <v>1019.05</v>
      </c>
      <c r="J12" t="s">
        <v>411</v>
      </c>
      <c r="L12">
        <v>2038.1</v>
      </c>
      <c r="M12" t="s">
        <v>227</v>
      </c>
      <c r="N12" s="20">
        <v>45357.654826388891</v>
      </c>
      <c r="O12" t="str">
        <f>_xlfn.XLOOKUP(salidas_hist[[#This Row],[PRODUCTO_ID]],total_leyenda[ID],total_leyenda[categoria])</f>
        <v>Parafinado</v>
      </c>
      <c r="Q12" s="36"/>
      <c r="R12" s="36"/>
      <c r="S12" s="37"/>
      <c r="T12" s="38"/>
      <c r="U12" s="39"/>
    </row>
    <row r="13" spans="1:21" x14ac:dyDescent="0.25">
      <c r="A13" s="1">
        <v>11</v>
      </c>
      <c r="B13" s="3">
        <v>45357</v>
      </c>
      <c r="C13" s="5">
        <v>0.71976851851851853</v>
      </c>
      <c r="D13" s="5"/>
      <c r="E13" s="5" t="s">
        <v>393</v>
      </c>
      <c r="F13" s="1" t="s">
        <v>134</v>
      </c>
      <c r="G13" s="1" t="s">
        <v>128</v>
      </c>
      <c r="H13">
        <v>60</v>
      </c>
      <c r="I13">
        <v>325.97000000000003</v>
      </c>
      <c r="L13">
        <v>19558.2</v>
      </c>
      <c r="M13" t="s">
        <v>227</v>
      </c>
      <c r="N13" s="20">
        <v>45357.719768518517</v>
      </c>
      <c r="O13" t="str">
        <f>_xlfn.XLOOKUP(salidas_hist[[#This Row],[PRODUCTO_ID]],total_leyenda[ID],total_leyenda[categoria])</f>
        <v>Palillo Bamboo</v>
      </c>
    </row>
    <row r="14" spans="1:21" x14ac:dyDescent="0.25">
      <c r="A14" s="1">
        <v>11</v>
      </c>
      <c r="B14" s="3">
        <v>45357</v>
      </c>
      <c r="C14" s="5">
        <v>0.71976851851851853</v>
      </c>
      <c r="D14" s="5"/>
      <c r="E14" s="5" t="s">
        <v>393</v>
      </c>
      <c r="F14" s="1" t="s">
        <v>120</v>
      </c>
      <c r="G14" s="1" t="s">
        <v>117</v>
      </c>
      <c r="H14">
        <v>5</v>
      </c>
      <c r="I14">
        <v>544.63</v>
      </c>
      <c r="L14">
        <v>2723.15</v>
      </c>
      <c r="M14" t="s">
        <v>227</v>
      </c>
      <c r="N14" s="20">
        <v>45357.719768518517</v>
      </c>
      <c r="O14" t="str">
        <f>_xlfn.XLOOKUP(salidas_hist[[#This Row],[PRODUCTO_ID]],total_leyenda[ID],total_leyenda[categoria])</f>
        <v>Papel Aluminio</v>
      </c>
    </row>
    <row r="15" spans="1:21" x14ac:dyDescent="0.25">
      <c r="A15" s="1">
        <v>11</v>
      </c>
      <c r="B15" s="3">
        <v>45357</v>
      </c>
      <c r="C15" s="5">
        <v>0.71976851851851853</v>
      </c>
      <c r="D15" s="5"/>
      <c r="E15" s="5" t="s">
        <v>393</v>
      </c>
      <c r="F15" s="1" t="s">
        <v>164</v>
      </c>
      <c r="G15" s="1" t="s">
        <v>165</v>
      </c>
      <c r="H15">
        <v>5</v>
      </c>
      <c r="I15">
        <v>676.68</v>
      </c>
      <c r="L15">
        <v>3383.4</v>
      </c>
      <c r="M15" t="s">
        <v>227</v>
      </c>
      <c r="N15" s="20">
        <v>45357.719768518517</v>
      </c>
      <c r="O15" t="str">
        <f>_xlfn.XLOOKUP(salidas_hist[[#This Row],[PRODUCTO_ID]],total_leyenda[ID],total_leyenda[categoria])</f>
        <v>VINIPEL</v>
      </c>
    </row>
    <row r="16" spans="1:21" x14ac:dyDescent="0.25">
      <c r="A16" s="1">
        <v>11</v>
      </c>
      <c r="B16" s="3">
        <v>45357</v>
      </c>
      <c r="C16" s="5">
        <v>0.71976851851851853</v>
      </c>
      <c r="D16" s="5"/>
      <c r="E16" s="5" t="s">
        <v>393</v>
      </c>
      <c r="F16" s="1" t="s">
        <v>210</v>
      </c>
      <c r="G16" s="1" t="s">
        <v>199</v>
      </c>
      <c r="H16">
        <v>20</v>
      </c>
      <c r="I16">
        <v>1003.57</v>
      </c>
      <c r="L16">
        <v>20071.400000000001</v>
      </c>
      <c r="M16" t="s">
        <v>227</v>
      </c>
      <c r="N16" s="20">
        <v>45357.719768518517</v>
      </c>
      <c r="O16" t="str">
        <f>_xlfn.XLOOKUP(salidas_hist[[#This Row],[PRODUCTO_ID]],total_leyenda[ID],total_leyenda[categoria])</f>
        <v>Bolsa Polipropileno</v>
      </c>
    </row>
    <row r="17" spans="1:15" x14ac:dyDescent="0.25">
      <c r="A17" s="1">
        <v>12</v>
      </c>
      <c r="B17" s="3">
        <v>45429</v>
      </c>
      <c r="C17" s="5">
        <v>0.84789351851851846</v>
      </c>
      <c r="D17" s="5">
        <v>1234788444</v>
      </c>
      <c r="E17" s="5" t="s">
        <v>548</v>
      </c>
      <c r="F17" s="1"/>
      <c r="G17" s="1" t="s">
        <v>86</v>
      </c>
      <c r="H17" t="s">
        <v>491</v>
      </c>
      <c r="I17">
        <v>10</v>
      </c>
      <c r="J17">
        <v>713.27</v>
      </c>
      <c r="L17">
        <v>0</v>
      </c>
      <c r="M17" t="s">
        <v>227</v>
      </c>
      <c r="N17" s="20">
        <v>45429.847893518519</v>
      </c>
      <c r="O17" s="75" t="e">
        <f>_xlfn.XLOOKUP(salidas_hist[[#This Row],[PRODUCTO_ID]],total_leyenda[ID],total_leyenda[categoria])</f>
        <v>#N/A</v>
      </c>
    </row>
    <row r="18" spans="1:15" x14ac:dyDescent="0.25">
      <c r="A18" s="1">
        <v>12</v>
      </c>
      <c r="B18" s="3">
        <v>45429</v>
      </c>
      <c r="C18" s="5">
        <v>0.84789351851851846</v>
      </c>
      <c r="D18" s="5">
        <v>1234788444</v>
      </c>
      <c r="E18" s="5" t="s">
        <v>548</v>
      </c>
      <c r="F18" s="1"/>
      <c r="G18" s="1" t="s">
        <v>209</v>
      </c>
      <c r="H18" t="s">
        <v>538</v>
      </c>
      <c r="I18">
        <v>50</v>
      </c>
      <c r="J18">
        <v>228.31</v>
      </c>
      <c r="L18">
        <v>0</v>
      </c>
      <c r="M18" t="s">
        <v>227</v>
      </c>
      <c r="N18" s="20">
        <v>45429.847893518519</v>
      </c>
      <c r="O18" s="75" t="e">
        <f>_xlfn.XLOOKUP(salidas_hist[[#This Row],[PRODUCTO_ID]],total_leyenda[ID],total_leyenda[categoria])</f>
        <v>#N/A</v>
      </c>
    </row>
    <row r="19" spans="1:15" x14ac:dyDescent="0.25">
      <c r="A19" s="1">
        <v>12</v>
      </c>
      <c r="B19" s="3">
        <v>45429</v>
      </c>
      <c r="C19" s="5">
        <v>0.84789351851851846</v>
      </c>
      <c r="D19" s="5">
        <v>1234788444</v>
      </c>
      <c r="E19" s="5" t="s">
        <v>548</v>
      </c>
      <c r="F19" s="1"/>
      <c r="G19" s="1" t="s">
        <v>178</v>
      </c>
      <c r="H19" t="s">
        <v>520</v>
      </c>
      <c r="I19">
        <v>20</v>
      </c>
      <c r="J19">
        <v>136.72999999999999</v>
      </c>
      <c r="L19">
        <v>0</v>
      </c>
      <c r="M19" t="s">
        <v>227</v>
      </c>
      <c r="N19" s="20">
        <v>45429.847893518519</v>
      </c>
      <c r="O19" s="75" t="e">
        <f>_xlfn.XLOOKUP(salidas_hist[[#This Row],[PRODUCTO_ID]],total_leyenda[ID],total_leyenda[categoria])</f>
        <v>#N/A</v>
      </c>
    </row>
    <row r="20" spans="1:15" x14ac:dyDescent="0.25">
      <c r="A20" s="1">
        <v>13</v>
      </c>
      <c r="B20" s="3">
        <v>45433</v>
      </c>
      <c r="C20" s="5">
        <v>0.64738425925925924</v>
      </c>
      <c r="D20" s="5">
        <v>1234788444</v>
      </c>
      <c r="E20" s="5" t="s">
        <v>548</v>
      </c>
      <c r="F20" s="1"/>
      <c r="G20" s="1" t="s">
        <v>86</v>
      </c>
      <c r="H20" t="s">
        <v>491</v>
      </c>
      <c r="I20">
        <v>10</v>
      </c>
      <c r="J20">
        <v>713.27</v>
      </c>
      <c r="L20">
        <v>0</v>
      </c>
      <c r="M20" t="s">
        <v>227</v>
      </c>
      <c r="N20" s="20">
        <v>45433.64738425926</v>
      </c>
      <c r="O20" s="75" t="e">
        <f>_xlfn.XLOOKUP(salidas_hist[[#This Row],[PRODUCTO_ID]],total_leyenda[ID],total_leyenda[categoria])</f>
        <v>#N/A</v>
      </c>
    </row>
    <row r="21" spans="1:15" x14ac:dyDescent="0.25">
      <c r="A21" s="1">
        <v>13</v>
      </c>
      <c r="B21" s="3">
        <v>45433</v>
      </c>
      <c r="C21" s="5">
        <v>0.64738425925925924</v>
      </c>
      <c r="D21" s="5">
        <v>1234788444</v>
      </c>
      <c r="E21" s="5" t="s">
        <v>548</v>
      </c>
      <c r="F21" s="1"/>
      <c r="G21" s="1" t="s">
        <v>209</v>
      </c>
      <c r="H21" t="s">
        <v>538</v>
      </c>
      <c r="I21">
        <v>50</v>
      </c>
      <c r="J21">
        <v>228.31</v>
      </c>
      <c r="L21">
        <v>0</v>
      </c>
      <c r="M21" t="s">
        <v>227</v>
      </c>
      <c r="N21" s="20">
        <v>45433.64738425926</v>
      </c>
      <c r="O21" s="75" t="e">
        <f>_xlfn.XLOOKUP(salidas_hist[[#This Row],[PRODUCTO_ID]],total_leyenda[ID],total_leyenda[categoria])</f>
        <v>#N/A</v>
      </c>
    </row>
    <row r="22" spans="1:15" x14ac:dyDescent="0.25">
      <c r="A22" s="1">
        <v>13</v>
      </c>
      <c r="B22" s="3">
        <v>45433</v>
      </c>
      <c r="C22" s="5">
        <v>0.64738425925925924</v>
      </c>
      <c r="D22" s="5">
        <v>1234788444</v>
      </c>
      <c r="E22" s="5" t="s">
        <v>548</v>
      </c>
      <c r="F22" s="1"/>
      <c r="G22" s="1" t="s">
        <v>178</v>
      </c>
      <c r="H22" t="s">
        <v>520</v>
      </c>
      <c r="I22">
        <v>20</v>
      </c>
      <c r="J22">
        <v>136.72999999999999</v>
      </c>
      <c r="L22">
        <v>0</v>
      </c>
      <c r="M22" t="s">
        <v>227</v>
      </c>
      <c r="N22" s="20">
        <v>45433.64738425926</v>
      </c>
      <c r="O22" s="75" t="e">
        <f>_xlfn.XLOOKUP(salidas_hist[[#This Row],[PRODUCTO_ID]],total_leyenda[ID],total_leyenda[categoria])</f>
        <v>#N/A</v>
      </c>
    </row>
  </sheetData>
  <pageMargins left="0.7" right="0.7" top="0.75" bottom="0.75" header="0.3" footer="0.3"/>
  <pageSetup orientation="portrait"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3D66B-950C-46C1-955A-D7867E14AF55}">
  <sheetPr codeName="Sheet8"/>
  <dimension ref="A1:M104"/>
  <sheetViews>
    <sheetView workbookViewId="0">
      <selection activeCell="K12" sqref="K12"/>
    </sheetView>
  </sheetViews>
  <sheetFormatPr defaultRowHeight="15" x14ac:dyDescent="0.25"/>
  <cols>
    <col min="1" max="1" width="9.85546875" bestFit="1" customWidth="1"/>
    <col min="2" max="2" width="7.85546875" bestFit="1" customWidth="1"/>
    <col min="3" max="3" width="14" bestFit="1" customWidth="1"/>
    <col min="4" max="4" width="11.42578125" bestFit="1" customWidth="1"/>
    <col min="5" max="5" width="10.7109375" bestFit="1" customWidth="1"/>
    <col min="6" max="7" width="11.42578125" bestFit="1" customWidth="1"/>
    <col min="8" max="8" width="39.42578125" bestFit="1" customWidth="1"/>
    <col min="9" max="9" width="18.5703125" bestFit="1" customWidth="1"/>
    <col min="10" max="10" width="14.140625" bestFit="1" customWidth="1"/>
    <col min="11" max="11" width="15.5703125" customWidth="1"/>
    <col min="12" max="12" width="11.140625" bestFit="1" customWidth="1"/>
    <col min="13" max="13" width="9.85546875" bestFit="1" customWidth="1"/>
    <col min="14" max="14" width="11.140625" bestFit="1" customWidth="1"/>
    <col min="15" max="15" width="9.85546875" bestFit="1" customWidth="1"/>
    <col min="16" max="16" width="11.140625" bestFit="1" customWidth="1"/>
    <col min="17" max="17" width="17" bestFit="1" customWidth="1"/>
    <col min="18" max="18" width="15.5703125" bestFit="1" customWidth="1"/>
    <col min="19" max="19" width="32.7109375" bestFit="1" customWidth="1"/>
    <col min="20" max="20" width="20.5703125" bestFit="1" customWidth="1"/>
  </cols>
  <sheetData>
    <row r="1" spans="1:12" x14ac:dyDescent="0.25">
      <c r="A1" t="s">
        <v>232</v>
      </c>
      <c r="B1" t="s">
        <v>331</v>
      </c>
      <c r="C1" t="s">
        <v>332</v>
      </c>
      <c r="D1" t="s">
        <v>333</v>
      </c>
      <c r="E1" t="s">
        <v>329</v>
      </c>
      <c r="F1" t="s">
        <v>330</v>
      </c>
      <c r="G1" t="s">
        <v>231</v>
      </c>
      <c r="H1" t="s">
        <v>334</v>
      </c>
      <c r="I1" t="s">
        <v>373</v>
      </c>
      <c r="J1" t="s">
        <v>335</v>
      </c>
      <c r="K1" t="s">
        <v>225</v>
      </c>
      <c r="L1" t="s">
        <v>328</v>
      </c>
    </row>
    <row r="2" spans="1:12" x14ac:dyDescent="0.25">
      <c r="A2" t="s">
        <v>238</v>
      </c>
      <c r="B2" t="s">
        <v>226</v>
      </c>
      <c r="C2" t="s">
        <v>147</v>
      </c>
      <c r="D2">
        <v>0</v>
      </c>
      <c r="E2" s="4">
        <v>45218</v>
      </c>
      <c r="F2" s="15">
        <v>0.33333333333333331</v>
      </c>
      <c r="G2" s="15">
        <v>0.33333333333333331</v>
      </c>
      <c r="H2" t="s">
        <v>146</v>
      </c>
      <c r="I2" t="s">
        <v>132</v>
      </c>
      <c r="J2" t="s">
        <v>218</v>
      </c>
      <c r="K2" s="21">
        <v>45317.6875</v>
      </c>
      <c r="L2">
        <f>SUMIF(C$2:C2, historico_movimientos[[#This Row],[id_producto]],D$2:D2)</f>
        <v>0</v>
      </c>
    </row>
    <row r="3" spans="1:12" x14ac:dyDescent="0.25">
      <c r="A3" t="s">
        <v>239</v>
      </c>
      <c r="B3" t="s">
        <v>226</v>
      </c>
      <c r="C3" t="s">
        <v>164</v>
      </c>
      <c r="D3">
        <v>67</v>
      </c>
      <c r="E3" s="4">
        <v>45218</v>
      </c>
      <c r="F3" s="15">
        <v>0.33333333333333331</v>
      </c>
      <c r="G3" s="15">
        <v>0.33333333333333331</v>
      </c>
      <c r="H3" t="s">
        <v>165</v>
      </c>
      <c r="I3" t="s">
        <v>132</v>
      </c>
      <c r="J3" t="s">
        <v>218</v>
      </c>
      <c r="K3" s="21">
        <v>45317.6875</v>
      </c>
      <c r="L3">
        <f>SUMIF(C$2:C3, historico_movimientos[[#This Row],[id_producto]],D$2:D3)</f>
        <v>67</v>
      </c>
    </row>
    <row r="4" spans="1:12" x14ac:dyDescent="0.25">
      <c r="A4" t="s">
        <v>240</v>
      </c>
      <c r="B4" t="s">
        <v>226</v>
      </c>
      <c r="C4" t="s">
        <v>141</v>
      </c>
      <c r="D4">
        <v>2</v>
      </c>
      <c r="E4" s="4">
        <v>45218</v>
      </c>
      <c r="F4" s="15">
        <v>0.33333333333333331</v>
      </c>
      <c r="G4" s="15">
        <v>0.33333333333333331</v>
      </c>
      <c r="H4" t="s">
        <v>145</v>
      </c>
      <c r="I4" t="s">
        <v>132</v>
      </c>
      <c r="J4" t="s">
        <v>218</v>
      </c>
      <c r="K4" s="21">
        <v>45317.6875</v>
      </c>
      <c r="L4">
        <f>SUMIF(C$2:C4, historico_movimientos[[#This Row],[id_producto]],D$2:D4)</f>
        <v>2</v>
      </c>
    </row>
    <row r="5" spans="1:12" x14ac:dyDescent="0.25">
      <c r="A5" t="s">
        <v>241</v>
      </c>
      <c r="B5" t="s">
        <v>226</v>
      </c>
      <c r="C5" t="s">
        <v>139</v>
      </c>
      <c r="D5">
        <v>5</v>
      </c>
      <c r="E5" s="4">
        <v>45218</v>
      </c>
      <c r="F5" s="15">
        <v>0.33333333333333331</v>
      </c>
      <c r="G5" s="15">
        <v>0.33333333333333331</v>
      </c>
      <c r="H5" t="s">
        <v>143</v>
      </c>
      <c r="I5" t="s">
        <v>132</v>
      </c>
      <c r="J5" t="s">
        <v>218</v>
      </c>
      <c r="K5" s="21">
        <v>45317.6875</v>
      </c>
      <c r="L5">
        <f>SUMIF(C$2:C5, historico_movimientos[[#This Row],[id_producto]],D$2:D5)</f>
        <v>5</v>
      </c>
    </row>
    <row r="6" spans="1:12" x14ac:dyDescent="0.25">
      <c r="A6" t="s">
        <v>242</v>
      </c>
      <c r="B6" t="s">
        <v>226</v>
      </c>
      <c r="C6" t="s">
        <v>140</v>
      </c>
      <c r="D6">
        <v>13</v>
      </c>
      <c r="E6" s="4">
        <v>45218</v>
      </c>
      <c r="F6" s="15">
        <v>0.33333333333333331</v>
      </c>
      <c r="G6" s="15">
        <v>0.33333333333333331</v>
      </c>
      <c r="H6" t="s">
        <v>144</v>
      </c>
      <c r="I6" t="s">
        <v>132</v>
      </c>
      <c r="J6" t="s">
        <v>218</v>
      </c>
      <c r="K6" s="21">
        <v>45317.6875</v>
      </c>
      <c r="L6">
        <f>SUMIF(C$2:C6, historico_movimientos[[#This Row],[id_producto]],D$2:D6)</f>
        <v>13</v>
      </c>
    </row>
    <row r="7" spans="1:12" x14ac:dyDescent="0.25">
      <c r="A7" t="s">
        <v>243</v>
      </c>
      <c r="B7" t="s">
        <v>226</v>
      </c>
      <c r="C7" t="s">
        <v>173</v>
      </c>
      <c r="D7">
        <v>0</v>
      </c>
      <c r="E7" s="4">
        <v>45218</v>
      </c>
      <c r="F7" s="15">
        <v>0.33333333333333331</v>
      </c>
      <c r="G7" s="15">
        <v>0.33333333333333331</v>
      </c>
      <c r="H7" t="s">
        <v>166</v>
      </c>
      <c r="I7" t="s">
        <v>132</v>
      </c>
      <c r="J7" t="s">
        <v>218</v>
      </c>
      <c r="K7" s="21">
        <v>45317.6875</v>
      </c>
      <c r="L7">
        <f>SUMIF(C$2:C7, historico_movimientos[[#This Row],[id_producto]],D$2:D7)</f>
        <v>0</v>
      </c>
    </row>
    <row r="8" spans="1:12" x14ac:dyDescent="0.25">
      <c r="A8" t="s">
        <v>244</v>
      </c>
      <c r="B8" t="s">
        <v>226</v>
      </c>
      <c r="C8" t="s">
        <v>177</v>
      </c>
      <c r="D8">
        <v>0</v>
      </c>
      <c r="E8" s="4">
        <v>45218</v>
      </c>
      <c r="F8" s="15">
        <v>0.33333333333333331</v>
      </c>
      <c r="G8" s="15">
        <v>0.33333333333333331</v>
      </c>
      <c r="H8" t="s">
        <v>170</v>
      </c>
      <c r="I8" t="s">
        <v>132</v>
      </c>
      <c r="J8" t="s">
        <v>218</v>
      </c>
      <c r="K8" s="21">
        <v>45317.6875</v>
      </c>
      <c r="L8">
        <f>SUMIF(C$2:C8, historico_movimientos[[#This Row],[id_producto]],D$2:D8)</f>
        <v>0</v>
      </c>
    </row>
    <row r="9" spans="1:12" x14ac:dyDescent="0.25">
      <c r="A9" t="s">
        <v>245</v>
      </c>
      <c r="B9" t="s">
        <v>226</v>
      </c>
      <c r="C9" t="s">
        <v>178</v>
      </c>
      <c r="D9">
        <v>23</v>
      </c>
      <c r="E9" s="4">
        <v>45218</v>
      </c>
      <c r="F9" s="15">
        <v>0.33333333333333331</v>
      </c>
      <c r="G9" s="15">
        <v>0.33333333333333331</v>
      </c>
      <c r="H9" t="s">
        <v>171</v>
      </c>
      <c r="I9" t="s">
        <v>132</v>
      </c>
      <c r="J9" t="s">
        <v>218</v>
      </c>
      <c r="K9" s="21">
        <v>45317.6875</v>
      </c>
      <c r="L9">
        <f>SUMIF(C$2:C9, historico_movimientos[[#This Row],[id_producto]],D$2:D9)</f>
        <v>23</v>
      </c>
    </row>
    <row r="10" spans="1:12" x14ac:dyDescent="0.25">
      <c r="A10" t="s">
        <v>246</v>
      </c>
      <c r="B10" t="s">
        <v>226</v>
      </c>
      <c r="C10" t="s">
        <v>176</v>
      </c>
      <c r="D10">
        <v>61</v>
      </c>
      <c r="E10" s="4">
        <v>45218</v>
      </c>
      <c r="F10" s="15">
        <v>0.33333333333333331</v>
      </c>
      <c r="G10" s="15">
        <v>0.33333333333333331</v>
      </c>
      <c r="H10" t="s">
        <v>169</v>
      </c>
      <c r="I10" t="s">
        <v>132</v>
      </c>
      <c r="J10" t="s">
        <v>218</v>
      </c>
      <c r="K10" s="21">
        <v>45317.6875</v>
      </c>
      <c r="L10">
        <f>SUMIF(C$2:C10, historico_movimientos[[#This Row],[id_producto]],D$2:D10)</f>
        <v>61</v>
      </c>
    </row>
    <row r="11" spans="1:12" x14ac:dyDescent="0.25">
      <c r="A11" t="s">
        <v>247</v>
      </c>
      <c r="B11" t="s">
        <v>226</v>
      </c>
      <c r="C11" t="s">
        <v>174</v>
      </c>
      <c r="D11">
        <v>0</v>
      </c>
      <c r="E11" s="4">
        <v>45218</v>
      </c>
      <c r="F11" s="15">
        <v>0.33333333333333331</v>
      </c>
      <c r="G11" s="15">
        <v>0.33333333333333331</v>
      </c>
      <c r="H11" t="s">
        <v>167</v>
      </c>
      <c r="I11" t="s">
        <v>132</v>
      </c>
      <c r="J11" t="s">
        <v>218</v>
      </c>
      <c r="K11" s="21">
        <v>45317.6875</v>
      </c>
      <c r="L11">
        <f>SUMIF(C$2:C11, historico_movimientos[[#This Row],[id_producto]],D$2:D11)</f>
        <v>0</v>
      </c>
    </row>
    <row r="12" spans="1:12" x14ac:dyDescent="0.25">
      <c r="A12" t="s">
        <v>248</v>
      </c>
      <c r="B12" t="s">
        <v>226</v>
      </c>
      <c r="C12" t="s">
        <v>175</v>
      </c>
      <c r="D12">
        <v>0</v>
      </c>
      <c r="E12" s="4">
        <v>45218</v>
      </c>
      <c r="F12" s="15">
        <v>0.33333333333333331</v>
      </c>
      <c r="G12" s="15">
        <v>0.33333333333333331</v>
      </c>
      <c r="H12" t="s">
        <v>168</v>
      </c>
      <c r="I12" t="s">
        <v>132</v>
      </c>
      <c r="J12" t="s">
        <v>218</v>
      </c>
      <c r="K12" s="21">
        <v>45317.6875</v>
      </c>
      <c r="L12">
        <f>SUMIF(C$2:C12, historico_movimientos[[#This Row],[id_producto]],D$2:D12)</f>
        <v>0</v>
      </c>
    </row>
    <row r="13" spans="1:12" x14ac:dyDescent="0.25">
      <c r="A13" t="s">
        <v>249</v>
      </c>
      <c r="B13" t="s">
        <v>226</v>
      </c>
      <c r="C13" t="s">
        <v>120</v>
      </c>
      <c r="D13">
        <v>7</v>
      </c>
      <c r="E13" s="4">
        <v>45218</v>
      </c>
      <c r="F13" s="15">
        <v>0.33333333333333331</v>
      </c>
      <c r="G13" s="15">
        <v>0.33333333333333331</v>
      </c>
      <c r="H13" t="s">
        <v>117</v>
      </c>
      <c r="I13" t="s">
        <v>111</v>
      </c>
      <c r="J13" t="s">
        <v>218</v>
      </c>
      <c r="K13" s="21">
        <v>45317.6875</v>
      </c>
      <c r="L13">
        <f>SUMIF(C$2:C13, historico_movimientos[[#This Row],[id_producto]],D$2:D13)</f>
        <v>7</v>
      </c>
    </row>
    <row r="14" spans="1:12" x14ac:dyDescent="0.25">
      <c r="A14" t="s">
        <v>250</v>
      </c>
      <c r="B14" t="s">
        <v>226</v>
      </c>
      <c r="C14" t="s">
        <v>121</v>
      </c>
      <c r="D14">
        <v>2</v>
      </c>
      <c r="E14" s="4">
        <v>45218</v>
      </c>
      <c r="F14" s="15">
        <v>0.33333333333333331</v>
      </c>
      <c r="G14" s="15">
        <v>0.33333333333333331</v>
      </c>
      <c r="H14" t="s">
        <v>118</v>
      </c>
      <c r="I14" t="s">
        <v>111</v>
      </c>
      <c r="J14" t="s">
        <v>218</v>
      </c>
      <c r="K14" s="21">
        <v>45317.6875</v>
      </c>
      <c r="L14">
        <f>SUMIF(C$2:C14, historico_movimientos[[#This Row],[id_producto]],D$2:D14)</f>
        <v>2</v>
      </c>
    </row>
    <row r="15" spans="1:12" x14ac:dyDescent="0.25">
      <c r="A15" t="s">
        <v>251</v>
      </c>
      <c r="B15" t="s">
        <v>226</v>
      </c>
      <c r="C15" t="s">
        <v>119</v>
      </c>
      <c r="D15">
        <v>9</v>
      </c>
      <c r="E15" s="4">
        <v>45218</v>
      </c>
      <c r="F15" s="15">
        <v>0.33333333333333331</v>
      </c>
      <c r="G15" s="15">
        <v>0.33333333333333331</v>
      </c>
      <c r="H15" t="s">
        <v>116</v>
      </c>
      <c r="I15" t="s">
        <v>111</v>
      </c>
      <c r="J15" t="s">
        <v>218</v>
      </c>
      <c r="K15" s="21">
        <v>45317.6875</v>
      </c>
      <c r="L15">
        <f>SUMIF(C$2:C15, historico_movimientos[[#This Row],[id_producto]],D$2:D15)</f>
        <v>9</v>
      </c>
    </row>
    <row r="16" spans="1:12" x14ac:dyDescent="0.25">
      <c r="A16" t="s">
        <v>252</v>
      </c>
      <c r="B16" t="s">
        <v>226</v>
      </c>
      <c r="C16" t="s">
        <v>110</v>
      </c>
      <c r="D16">
        <v>20</v>
      </c>
      <c r="E16" s="4">
        <v>45218</v>
      </c>
      <c r="F16" s="15">
        <v>0.33333333333333331</v>
      </c>
      <c r="G16" s="15">
        <v>0.33333333333333331</v>
      </c>
      <c r="H16" t="s">
        <v>106</v>
      </c>
      <c r="I16" t="s">
        <v>372</v>
      </c>
      <c r="J16" t="s">
        <v>218</v>
      </c>
      <c r="K16" s="21">
        <v>45317.6875</v>
      </c>
      <c r="L16">
        <f>SUMIF(C$2:C16, historico_movimientos[[#This Row],[id_producto]],D$2:D16)</f>
        <v>20</v>
      </c>
    </row>
    <row r="17" spans="1:12" x14ac:dyDescent="0.25">
      <c r="A17" t="s">
        <v>253</v>
      </c>
      <c r="B17" t="s">
        <v>226</v>
      </c>
      <c r="C17" t="s">
        <v>114</v>
      </c>
      <c r="D17">
        <v>27</v>
      </c>
      <c r="E17" s="4">
        <v>45218</v>
      </c>
      <c r="F17" s="15">
        <v>0.33333333333333331</v>
      </c>
      <c r="G17" s="15">
        <v>0.33333333333333331</v>
      </c>
      <c r="H17" t="s">
        <v>115</v>
      </c>
      <c r="I17" t="s">
        <v>111</v>
      </c>
      <c r="J17" t="s">
        <v>218</v>
      </c>
      <c r="K17" s="21">
        <v>45317.6875</v>
      </c>
      <c r="L17">
        <f>SUMIF(C$2:C17, historico_movimientos[[#This Row],[id_producto]],D$2:D17)</f>
        <v>27</v>
      </c>
    </row>
    <row r="18" spans="1:12" x14ac:dyDescent="0.25">
      <c r="A18" t="s">
        <v>254</v>
      </c>
      <c r="B18" t="s">
        <v>226</v>
      </c>
      <c r="C18" t="s">
        <v>124</v>
      </c>
      <c r="D18">
        <v>39</v>
      </c>
      <c r="E18" s="4">
        <v>45218</v>
      </c>
      <c r="F18" s="15">
        <v>0.33333333333333331</v>
      </c>
      <c r="G18" s="15">
        <v>0.33333333333333331</v>
      </c>
      <c r="H18" t="s">
        <v>122</v>
      </c>
      <c r="I18" t="s">
        <v>215</v>
      </c>
      <c r="J18" t="s">
        <v>218</v>
      </c>
      <c r="K18" s="21">
        <v>45317.6875</v>
      </c>
      <c r="L18">
        <f>SUMIF(C$2:C18, historico_movimientos[[#This Row],[id_producto]],D$2:D18)</f>
        <v>39</v>
      </c>
    </row>
    <row r="19" spans="1:12" x14ac:dyDescent="0.25">
      <c r="A19" t="s">
        <v>255</v>
      </c>
      <c r="B19" t="s">
        <v>226</v>
      </c>
      <c r="C19" t="s">
        <v>137</v>
      </c>
      <c r="D19">
        <v>9</v>
      </c>
      <c r="E19" s="4">
        <v>45218</v>
      </c>
      <c r="F19" s="15">
        <v>0.33333333333333331</v>
      </c>
      <c r="G19" s="15">
        <v>0.33333333333333331</v>
      </c>
      <c r="H19" t="s">
        <v>131</v>
      </c>
      <c r="I19" t="s">
        <v>127</v>
      </c>
      <c r="J19" t="s">
        <v>218</v>
      </c>
      <c r="K19" s="21">
        <v>45317.6875</v>
      </c>
      <c r="L19">
        <f>SUMIF(C$2:C19, historico_movimientos[[#This Row],[id_producto]],D$2:D19)</f>
        <v>9</v>
      </c>
    </row>
    <row r="20" spans="1:12" x14ac:dyDescent="0.25">
      <c r="A20" t="s">
        <v>256</v>
      </c>
      <c r="B20" t="s">
        <v>226</v>
      </c>
      <c r="C20" t="s">
        <v>138</v>
      </c>
      <c r="D20">
        <v>4</v>
      </c>
      <c r="E20" s="4">
        <v>45218</v>
      </c>
      <c r="F20" s="15">
        <v>0.33333333333333331</v>
      </c>
      <c r="G20" s="15">
        <v>0.33333333333333331</v>
      </c>
      <c r="H20" t="s">
        <v>142</v>
      </c>
      <c r="I20" t="s">
        <v>132</v>
      </c>
      <c r="J20" t="s">
        <v>218</v>
      </c>
      <c r="K20" s="21">
        <v>45317.6875</v>
      </c>
      <c r="L20">
        <f>SUMIF(C$2:C20, historico_movimientos[[#This Row],[id_producto]],D$2:D20)</f>
        <v>4</v>
      </c>
    </row>
    <row r="21" spans="1:12" x14ac:dyDescent="0.25">
      <c r="A21" t="s">
        <v>257</v>
      </c>
      <c r="B21" t="s">
        <v>226</v>
      </c>
      <c r="C21" t="s">
        <v>136</v>
      </c>
      <c r="D21">
        <v>30</v>
      </c>
      <c r="E21" s="4">
        <v>45218</v>
      </c>
      <c r="F21" s="15">
        <v>0.33333333333333331</v>
      </c>
      <c r="G21" s="15">
        <v>0.33333333333333331</v>
      </c>
      <c r="H21" t="s">
        <v>130</v>
      </c>
      <c r="I21" t="s">
        <v>127</v>
      </c>
      <c r="J21" t="s">
        <v>218</v>
      </c>
      <c r="K21" s="21">
        <v>45317.6875</v>
      </c>
      <c r="L21">
        <f>SUMIF(C$2:C21, historico_movimientos[[#This Row],[id_producto]],D$2:D21)</f>
        <v>30</v>
      </c>
    </row>
    <row r="22" spans="1:12" x14ac:dyDescent="0.25">
      <c r="A22" t="s">
        <v>258</v>
      </c>
      <c r="B22" t="s">
        <v>226</v>
      </c>
      <c r="C22" t="s">
        <v>134</v>
      </c>
      <c r="D22">
        <v>1</v>
      </c>
      <c r="E22" s="4">
        <v>45218</v>
      </c>
      <c r="F22" s="15">
        <v>0.33333333333333331</v>
      </c>
      <c r="G22" s="15">
        <v>0.33333333333333331</v>
      </c>
      <c r="H22" t="s">
        <v>128</v>
      </c>
      <c r="I22" t="s">
        <v>127</v>
      </c>
      <c r="J22" t="s">
        <v>218</v>
      </c>
      <c r="K22" s="21">
        <v>45317.6875</v>
      </c>
      <c r="L22">
        <f>SUMIF(C$2:C22, historico_movimientos[[#This Row],[id_producto]],D$2:D22)</f>
        <v>1</v>
      </c>
    </row>
    <row r="23" spans="1:12" x14ac:dyDescent="0.25">
      <c r="A23" t="s">
        <v>259</v>
      </c>
      <c r="B23" t="s">
        <v>226</v>
      </c>
      <c r="C23" t="s">
        <v>135</v>
      </c>
      <c r="D23">
        <v>5</v>
      </c>
      <c r="E23" s="4">
        <v>45218</v>
      </c>
      <c r="F23" s="15">
        <v>0.33333333333333331</v>
      </c>
      <c r="G23" s="15">
        <v>0.33333333333333331</v>
      </c>
      <c r="H23" t="s">
        <v>129</v>
      </c>
      <c r="I23" t="s">
        <v>127</v>
      </c>
      <c r="J23" t="s">
        <v>218</v>
      </c>
      <c r="K23" s="21">
        <v>45317.6875</v>
      </c>
      <c r="L23">
        <f>SUMIF(C$2:C23, historico_movimientos[[#This Row],[id_producto]],D$2:D23)</f>
        <v>5</v>
      </c>
    </row>
    <row r="24" spans="1:12" x14ac:dyDescent="0.25">
      <c r="A24" t="s">
        <v>260</v>
      </c>
      <c r="B24" t="s">
        <v>226</v>
      </c>
      <c r="C24" t="s">
        <v>210</v>
      </c>
      <c r="D24">
        <v>10</v>
      </c>
      <c r="E24" s="4">
        <v>45218</v>
      </c>
      <c r="F24" s="15">
        <v>0.33333333333333331</v>
      </c>
      <c r="G24" s="15">
        <v>0.33333333333333331</v>
      </c>
      <c r="H24" t="s">
        <v>199</v>
      </c>
      <c r="I24" t="s">
        <v>216</v>
      </c>
      <c r="J24" t="s">
        <v>218</v>
      </c>
      <c r="K24" s="21">
        <v>45317.6875</v>
      </c>
      <c r="L24">
        <f>SUMIF(C$2:C24, historico_movimientos[[#This Row],[id_producto]],D$2:D24)</f>
        <v>10</v>
      </c>
    </row>
    <row r="25" spans="1:12" x14ac:dyDescent="0.25">
      <c r="A25" t="s">
        <v>261</v>
      </c>
      <c r="B25" t="s">
        <v>226</v>
      </c>
      <c r="C25" t="s">
        <v>211</v>
      </c>
      <c r="D25">
        <v>0</v>
      </c>
      <c r="E25" s="4">
        <v>45218</v>
      </c>
      <c r="F25" s="15">
        <v>0.33333333333333331</v>
      </c>
      <c r="G25" s="15">
        <v>0.33333333333333331</v>
      </c>
      <c r="H25" t="s">
        <v>200</v>
      </c>
      <c r="I25" t="s">
        <v>216</v>
      </c>
      <c r="J25" t="s">
        <v>218</v>
      </c>
      <c r="K25" s="21">
        <v>45317.6875</v>
      </c>
      <c r="L25">
        <f>SUMIF(C$2:C25, historico_movimientos[[#This Row],[id_producto]],D$2:D25)</f>
        <v>0</v>
      </c>
    </row>
    <row r="26" spans="1:12" x14ac:dyDescent="0.25">
      <c r="A26" t="s">
        <v>262</v>
      </c>
      <c r="B26" t="s">
        <v>226</v>
      </c>
      <c r="C26" t="s">
        <v>209</v>
      </c>
      <c r="D26">
        <v>0</v>
      </c>
      <c r="E26" s="4">
        <v>45218</v>
      </c>
      <c r="F26" s="15">
        <v>0.33333333333333331</v>
      </c>
      <c r="G26" s="15">
        <v>0.33333333333333331</v>
      </c>
      <c r="H26" t="s">
        <v>198</v>
      </c>
      <c r="I26" t="s">
        <v>216</v>
      </c>
      <c r="J26" t="s">
        <v>218</v>
      </c>
      <c r="K26" s="21">
        <v>45317.6875</v>
      </c>
      <c r="L26">
        <f>SUMIF(C$2:C26, historico_movimientos[[#This Row],[id_producto]],D$2:D26)</f>
        <v>0</v>
      </c>
    </row>
    <row r="27" spans="1:12" x14ac:dyDescent="0.25">
      <c r="A27" t="s">
        <v>263</v>
      </c>
      <c r="B27" t="s">
        <v>226</v>
      </c>
      <c r="C27" t="s">
        <v>207</v>
      </c>
      <c r="D27">
        <v>5</v>
      </c>
      <c r="E27" s="4">
        <v>45218</v>
      </c>
      <c r="F27" s="15">
        <v>0.33333333333333331</v>
      </c>
      <c r="G27" s="15">
        <v>0.33333333333333331</v>
      </c>
      <c r="H27" t="s">
        <v>196</v>
      </c>
      <c r="I27" t="s">
        <v>216</v>
      </c>
      <c r="J27" t="s">
        <v>218</v>
      </c>
      <c r="K27" s="21">
        <v>45317.6875</v>
      </c>
      <c r="L27">
        <f>SUMIF(C$2:C27, historico_movimientos[[#This Row],[id_producto]],D$2:D27)</f>
        <v>5</v>
      </c>
    </row>
    <row r="28" spans="1:12" x14ac:dyDescent="0.25">
      <c r="A28" t="s">
        <v>264</v>
      </c>
      <c r="B28" t="s">
        <v>226</v>
      </c>
      <c r="C28" t="s">
        <v>208</v>
      </c>
      <c r="D28">
        <v>4</v>
      </c>
      <c r="E28" s="4">
        <v>45218</v>
      </c>
      <c r="F28" s="15">
        <v>0.33333333333333331</v>
      </c>
      <c r="G28" s="15">
        <v>0.33333333333333331</v>
      </c>
      <c r="H28" t="s">
        <v>197</v>
      </c>
      <c r="I28" t="s">
        <v>216</v>
      </c>
      <c r="J28" t="s">
        <v>218</v>
      </c>
      <c r="K28" s="21">
        <v>45317.6875</v>
      </c>
      <c r="L28">
        <f>SUMIF(C$2:C28, historico_movimientos[[#This Row],[id_producto]],D$2:D28)</f>
        <v>4</v>
      </c>
    </row>
    <row r="29" spans="1:12" x14ac:dyDescent="0.25">
      <c r="A29" t="s">
        <v>265</v>
      </c>
      <c r="B29" t="s">
        <v>226</v>
      </c>
      <c r="C29" t="s">
        <v>212</v>
      </c>
      <c r="D29">
        <v>0</v>
      </c>
      <c r="E29" s="4">
        <v>45218</v>
      </c>
      <c r="F29" s="15">
        <v>0.33333333333333331</v>
      </c>
      <c r="G29" s="15">
        <v>0.33333333333333331</v>
      </c>
      <c r="H29" t="s">
        <v>201</v>
      </c>
      <c r="I29" t="s">
        <v>216</v>
      </c>
      <c r="J29" t="s">
        <v>218</v>
      </c>
      <c r="K29" s="21">
        <v>45317.6875</v>
      </c>
      <c r="L29">
        <f>SUMIF(C$2:C29, historico_movimientos[[#This Row],[id_producto]],D$2:D29)</f>
        <v>0</v>
      </c>
    </row>
    <row r="30" spans="1:12" x14ac:dyDescent="0.25">
      <c r="A30" t="s">
        <v>266</v>
      </c>
      <c r="B30" t="s">
        <v>226</v>
      </c>
      <c r="C30" t="s">
        <v>221</v>
      </c>
      <c r="D30">
        <v>13</v>
      </c>
      <c r="E30" s="4">
        <v>45218</v>
      </c>
      <c r="F30" s="15">
        <v>0.33333333333333331</v>
      </c>
      <c r="G30" s="15">
        <v>0.33333333333333331</v>
      </c>
      <c r="H30" t="s">
        <v>186</v>
      </c>
      <c r="I30" t="s">
        <v>183</v>
      </c>
      <c r="J30" t="s">
        <v>218</v>
      </c>
      <c r="K30" s="21">
        <v>45317.6875</v>
      </c>
      <c r="L30">
        <f>SUMIF(C$2:C30, historico_movimientos[[#This Row],[id_producto]],D$2:D30)</f>
        <v>13</v>
      </c>
    </row>
    <row r="31" spans="1:12" x14ac:dyDescent="0.25">
      <c r="A31" t="s">
        <v>267</v>
      </c>
      <c r="B31" t="s">
        <v>226</v>
      </c>
      <c r="C31" t="s">
        <v>222</v>
      </c>
      <c r="D31">
        <v>39</v>
      </c>
      <c r="E31" s="4">
        <v>45218</v>
      </c>
      <c r="F31" s="15">
        <v>0.33333333333333331</v>
      </c>
      <c r="G31" s="15">
        <v>0.33333333333333331</v>
      </c>
      <c r="H31" t="s">
        <v>187</v>
      </c>
      <c r="I31" t="s">
        <v>183</v>
      </c>
      <c r="J31" t="s">
        <v>218</v>
      </c>
      <c r="K31" s="21">
        <v>45317.6875</v>
      </c>
      <c r="L31">
        <f>SUMIF(C$2:C31, historico_movimientos[[#This Row],[id_producto]],D$2:D31)</f>
        <v>39</v>
      </c>
    </row>
    <row r="32" spans="1:12" x14ac:dyDescent="0.25">
      <c r="A32" t="s">
        <v>268</v>
      </c>
      <c r="B32" t="s">
        <v>226</v>
      </c>
      <c r="C32" t="s">
        <v>220</v>
      </c>
      <c r="D32">
        <v>0</v>
      </c>
      <c r="E32" s="4">
        <v>45218</v>
      </c>
      <c r="F32" s="15">
        <v>0.33333333333333331</v>
      </c>
      <c r="G32" s="15">
        <v>0.33333333333333331</v>
      </c>
      <c r="H32" t="s">
        <v>185</v>
      </c>
      <c r="I32" t="s">
        <v>183</v>
      </c>
      <c r="J32" t="s">
        <v>218</v>
      </c>
      <c r="K32" s="21">
        <v>45317.6875</v>
      </c>
      <c r="L32">
        <f>SUMIF(C$2:C32, historico_movimientos[[#This Row],[id_producto]],D$2:D32)</f>
        <v>0</v>
      </c>
    </row>
    <row r="33" spans="1:12" x14ac:dyDescent="0.25">
      <c r="A33" t="s">
        <v>269</v>
      </c>
      <c r="B33" t="s">
        <v>226</v>
      </c>
      <c r="C33" t="s">
        <v>213</v>
      </c>
      <c r="D33">
        <v>0</v>
      </c>
      <c r="E33" s="4">
        <v>45218</v>
      </c>
      <c r="F33" s="15">
        <v>0.33333333333333331</v>
      </c>
      <c r="G33" s="15">
        <v>0.33333333333333331</v>
      </c>
      <c r="H33" t="s">
        <v>202</v>
      </c>
      <c r="I33" t="s">
        <v>216</v>
      </c>
      <c r="J33" t="s">
        <v>218</v>
      </c>
      <c r="K33" s="21">
        <v>45317.6875</v>
      </c>
      <c r="L33">
        <f>SUMIF(C$2:C33, historico_movimientos[[#This Row],[id_producto]],D$2:D33)</f>
        <v>0</v>
      </c>
    </row>
    <row r="34" spans="1:12" x14ac:dyDescent="0.25">
      <c r="A34" t="s">
        <v>270</v>
      </c>
      <c r="B34" t="s">
        <v>226</v>
      </c>
      <c r="C34" t="s">
        <v>184</v>
      </c>
      <c r="D34">
        <v>28</v>
      </c>
      <c r="E34" s="4">
        <v>45218</v>
      </c>
      <c r="F34" s="15">
        <v>0.33333333333333331</v>
      </c>
      <c r="G34" s="15">
        <v>0.33333333333333331</v>
      </c>
      <c r="H34" t="s">
        <v>180</v>
      </c>
      <c r="I34" t="s">
        <v>183</v>
      </c>
      <c r="J34" t="s">
        <v>218</v>
      </c>
      <c r="K34" s="21">
        <v>45317.6875</v>
      </c>
      <c r="L34">
        <f>SUMIF(C$2:C34, historico_movimientos[[#This Row],[id_producto]],D$2:D34)</f>
        <v>28</v>
      </c>
    </row>
    <row r="35" spans="1:12" x14ac:dyDescent="0.25">
      <c r="A35" t="s">
        <v>271</v>
      </c>
      <c r="B35" t="s">
        <v>226</v>
      </c>
      <c r="C35" t="s">
        <v>157</v>
      </c>
      <c r="D35">
        <v>49</v>
      </c>
      <c r="E35" s="4">
        <v>45218</v>
      </c>
      <c r="F35" s="15">
        <v>0.33333333333333331</v>
      </c>
      <c r="G35" s="15">
        <v>0.33333333333333331</v>
      </c>
      <c r="H35" t="s">
        <v>153</v>
      </c>
      <c r="I35" t="s">
        <v>148</v>
      </c>
      <c r="J35" t="s">
        <v>218</v>
      </c>
      <c r="K35" s="21">
        <v>45317.6875</v>
      </c>
      <c r="L35">
        <f>SUMIF(C$2:C35, historico_movimientos[[#This Row],[id_producto]],D$2:D35)</f>
        <v>49</v>
      </c>
    </row>
    <row r="36" spans="1:12" x14ac:dyDescent="0.25">
      <c r="A36" t="s">
        <v>272</v>
      </c>
      <c r="B36" t="s">
        <v>226</v>
      </c>
      <c r="C36" t="s">
        <v>158</v>
      </c>
      <c r="D36">
        <v>3</v>
      </c>
      <c r="E36" s="4">
        <v>45218</v>
      </c>
      <c r="F36" s="15">
        <v>0.33333333333333331</v>
      </c>
      <c r="G36" s="15">
        <v>0.33333333333333331</v>
      </c>
      <c r="H36" t="s">
        <v>154</v>
      </c>
      <c r="I36" t="s">
        <v>148</v>
      </c>
      <c r="J36" t="s">
        <v>218</v>
      </c>
      <c r="K36" s="21">
        <v>45317.6875</v>
      </c>
      <c r="L36">
        <f>SUMIF(C$2:C36, historico_movimientos[[#This Row],[id_producto]],D$2:D36)</f>
        <v>3</v>
      </c>
    </row>
    <row r="37" spans="1:12" x14ac:dyDescent="0.25">
      <c r="A37" t="s">
        <v>273</v>
      </c>
      <c r="B37" t="s">
        <v>226</v>
      </c>
      <c r="C37" t="s">
        <v>156</v>
      </c>
      <c r="D37">
        <v>4</v>
      </c>
      <c r="E37" s="4">
        <v>45218</v>
      </c>
      <c r="F37" s="15">
        <v>0.33333333333333331</v>
      </c>
      <c r="G37" s="15">
        <v>0.33333333333333331</v>
      </c>
      <c r="H37" t="s">
        <v>152</v>
      </c>
      <c r="I37" t="s">
        <v>148</v>
      </c>
      <c r="J37" t="s">
        <v>218</v>
      </c>
      <c r="K37" s="21">
        <v>45317.6875</v>
      </c>
      <c r="L37">
        <f>SUMIF(C$2:C37, historico_movimientos[[#This Row],[id_producto]],D$2:D37)</f>
        <v>4</v>
      </c>
    </row>
    <row r="38" spans="1:12" x14ac:dyDescent="0.25">
      <c r="A38" t="s">
        <v>274</v>
      </c>
      <c r="B38" t="s">
        <v>226</v>
      </c>
      <c r="C38" t="s">
        <v>179</v>
      </c>
      <c r="D38">
        <v>32</v>
      </c>
      <c r="E38" s="4">
        <v>45218</v>
      </c>
      <c r="F38" s="15">
        <v>0.33333333333333331</v>
      </c>
      <c r="G38" s="15">
        <v>0.33333333333333331</v>
      </c>
      <c r="H38" t="s">
        <v>172</v>
      </c>
      <c r="I38" t="s">
        <v>132</v>
      </c>
      <c r="J38" t="s">
        <v>218</v>
      </c>
      <c r="K38" s="21">
        <v>45317.6875</v>
      </c>
      <c r="L38">
        <f>SUMIF(C$2:C38, historico_movimientos[[#This Row],[id_producto]],D$2:D38)</f>
        <v>32</v>
      </c>
    </row>
    <row r="39" spans="1:12" x14ac:dyDescent="0.25">
      <c r="A39" t="s">
        <v>275</v>
      </c>
      <c r="B39" t="s">
        <v>226</v>
      </c>
      <c r="C39" t="s">
        <v>151</v>
      </c>
      <c r="D39">
        <v>53</v>
      </c>
      <c r="E39" s="4">
        <v>45218</v>
      </c>
      <c r="F39" s="15">
        <v>0.33333333333333331</v>
      </c>
      <c r="G39" s="15">
        <v>0.33333333333333331</v>
      </c>
      <c r="H39" t="s">
        <v>150</v>
      </c>
      <c r="I39" t="s">
        <v>148</v>
      </c>
      <c r="J39" t="s">
        <v>218</v>
      </c>
      <c r="K39" s="21">
        <v>45317.6875</v>
      </c>
      <c r="L39">
        <f>SUMIF(C$2:C39, historico_movimientos[[#This Row],[id_producto]],D$2:D39)</f>
        <v>53</v>
      </c>
    </row>
    <row r="40" spans="1:12" x14ac:dyDescent="0.25">
      <c r="A40" t="s">
        <v>276</v>
      </c>
      <c r="B40" t="s">
        <v>226</v>
      </c>
      <c r="C40" t="s">
        <v>159</v>
      </c>
      <c r="D40">
        <v>36</v>
      </c>
      <c r="E40" s="4">
        <v>45218</v>
      </c>
      <c r="F40" s="15">
        <v>0.33333333333333331</v>
      </c>
      <c r="G40" s="15">
        <v>0.33333333333333331</v>
      </c>
      <c r="H40" t="s">
        <v>155</v>
      </c>
      <c r="I40" t="s">
        <v>148</v>
      </c>
      <c r="J40" t="s">
        <v>218</v>
      </c>
      <c r="K40" s="21">
        <v>45317.6875</v>
      </c>
      <c r="L40">
        <f>SUMIF(C$2:C40, historico_movimientos[[#This Row],[id_producto]],D$2:D40)</f>
        <v>36</v>
      </c>
    </row>
    <row r="41" spans="1:12" x14ac:dyDescent="0.25">
      <c r="A41" t="s">
        <v>277</v>
      </c>
      <c r="B41" t="s">
        <v>226</v>
      </c>
      <c r="C41" t="s">
        <v>205</v>
      </c>
      <c r="D41">
        <v>10</v>
      </c>
      <c r="E41" s="4">
        <v>45218</v>
      </c>
      <c r="F41" s="15">
        <v>0.33333333333333331</v>
      </c>
      <c r="G41" s="15">
        <v>0.33333333333333331</v>
      </c>
      <c r="H41" t="s">
        <v>194</v>
      </c>
      <c r="I41" t="s">
        <v>216</v>
      </c>
      <c r="J41" t="s">
        <v>218</v>
      </c>
      <c r="K41" s="21">
        <v>45317.6875</v>
      </c>
      <c r="L41">
        <f>SUMIF(C$2:C41, historico_movimientos[[#This Row],[id_producto]],D$2:D41)</f>
        <v>10</v>
      </c>
    </row>
    <row r="42" spans="1:12" x14ac:dyDescent="0.25">
      <c r="A42" t="s">
        <v>278</v>
      </c>
      <c r="B42" t="s">
        <v>226</v>
      </c>
      <c r="C42" t="s">
        <v>206</v>
      </c>
      <c r="D42">
        <v>15</v>
      </c>
      <c r="E42" s="4">
        <v>45218</v>
      </c>
      <c r="F42" s="15">
        <v>0.33333333333333331</v>
      </c>
      <c r="G42" s="15">
        <v>0.33333333333333331</v>
      </c>
      <c r="H42" t="s">
        <v>195</v>
      </c>
      <c r="I42" t="s">
        <v>216</v>
      </c>
      <c r="J42" t="s">
        <v>218</v>
      </c>
      <c r="K42" s="21">
        <v>45317.6875</v>
      </c>
      <c r="L42">
        <f>SUMIF(C$2:C42, historico_movimientos[[#This Row],[id_producto]],D$2:D42)</f>
        <v>15</v>
      </c>
    </row>
    <row r="43" spans="1:12" x14ac:dyDescent="0.25">
      <c r="A43" t="s">
        <v>279</v>
      </c>
      <c r="B43" t="s">
        <v>226</v>
      </c>
      <c r="C43" t="s">
        <v>204</v>
      </c>
      <c r="D43">
        <v>4</v>
      </c>
      <c r="E43" s="4">
        <v>45218</v>
      </c>
      <c r="F43" s="15">
        <v>0.33333333333333331</v>
      </c>
      <c r="G43" s="15">
        <v>0.33333333333333331</v>
      </c>
      <c r="H43" t="s">
        <v>193</v>
      </c>
      <c r="I43" t="s">
        <v>216</v>
      </c>
      <c r="J43" t="s">
        <v>218</v>
      </c>
      <c r="K43" s="21">
        <v>45317.6875</v>
      </c>
      <c r="L43">
        <f>SUMIF(C$2:C43, historico_movimientos[[#This Row],[id_producto]],D$2:D43)</f>
        <v>4</v>
      </c>
    </row>
    <row r="44" spans="1:12" x14ac:dyDescent="0.25">
      <c r="A44" t="s">
        <v>280</v>
      </c>
      <c r="B44" t="s">
        <v>226</v>
      </c>
      <c r="C44" t="s">
        <v>190</v>
      </c>
      <c r="D44">
        <v>69</v>
      </c>
      <c r="E44" s="4">
        <v>45218</v>
      </c>
      <c r="F44" s="15">
        <v>0.33333333333333331</v>
      </c>
      <c r="G44" s="15">
        <v>0.33333333333333331</v>
      </c>
      <c r="H44" t="s">
        <v>191</v>
      </c>
      <c r="I44" t="s">
        <v>216</v>
      </c>
      <c r="J44" t="s">
        <v>218</v>
      </c>
      <c r="K44" s="21">
        <v>45317.6875</v>
      </c>
      <c r="L44">
        <f>SUMIF(C$2:C44, historico_movimientos[[#This Row],[id_producto]],D$2:D44)</f>
        <v>69</v>
      </c>
    </row>
    <row r="45" spans="1:12" x14ac:dyDescent="0.25">
      <c r="A45" t="s">
        <v>281</v>
      </c>
      <c r="B45" t="s">
        <v>226</v>
      </c>
      <c r="C45" t="s">
        <v>203</v>
      </c>
      <c r="D45">
        <v>67</v>
      </c>
      <c r="E45" s="4">
        <v>45218</v>
      </c>
      <c r="F45" s="15">
        <v>0.33333333333333331</v>
      </c>
      <c r="G45" s="15">
        <v>0.33333333333333331</v>
      </c>
      <c r="H45" t="s">
        <v>192</v>
      </c>
      <c r="I45" t="s">
        <v>216</v>
      </c>
      <c r="J45" t="s">
        <v>218</v>
      </c>
      <c r="K45" s="21">
        <v>45317.6875</v>
      </c>
      <c r="L45">
        <f>SUMIF(C$2:C45, historico_movimientos[[#This Row],[id_producto]],D$2:D45)</f>
        <v>67</v>
      </c>
    </row>
    <row r="46" spans="1:12" x14ac:dyDescent="0.25">
      <c r="A46" t="s">
        <v>282</v>
      </c>
      <c r="B46" t="s">
        <v>226</v>
      </c>
      <c r="C46" t="s">
        <v>34</v>
      </c>
      <c r="D46">
        <v>12</v>
      </c>
      <c r="E46" s="4">
        <v>45218</v>
      </c>
      <c r="F46" s="15">
        <v>0.33333333333333331</v>
      </c>
      <c r="G46" s="15">
        <v>0.33333333333333331</v>
      </c>
      <c r="H46" t="s">
        <v>41</v>
      </c>
      <c r="I46" t="s">
        <v>372</v>
      </c>
      <c r="J46" t="s">
        <v>218</v>
      </c>
      <c r="K46" s="21">
        <v>45317.6875</v>
      </c>
      <c r="L46">
        <f>SUMIF(C$2:C46, historico_movimientos[[#This Row],[id_producto]],D$2:D46)</f>
        <v>12</v>
      </c>
    </row>
    <row r="47" spans="1:12" x14ac:dyDescent="0.25">
      <c r="A47" t="s">
        <v>283</v>
      </c>
      <c r="B47" t="s">
        <v>226</v>
      </c>
      <c r="C47" t="s">
        <v>35</v>
      </c>
      <c r="D47">
        <v>0</v>
      </c>
      <c r="E47" s="4">
        <v>45218</v>
      </c>
      <c r="F47" s="15">
        <v>0.33333333333333331</v>
      </c>
      <c r="G47" s="15">
        <v>0.33333333333333331</v>
      </c>
      <c r="H47" t="s">
        <v>42</v>
      </c>
      <c r="I47" t="s">
        <v>372</v>
      </c>
      <c r="J47" t="s">
        <v>218</v>
      </c>
      <c r="K47" s="21">
        <v>45317.6875</v>
      </c>
      <c r="L47">
        <f>SUMIF(C$2:C47, historico_movimientos[[#This Row],[id_producto]],D$2:D47)</f>
        <v>0</v>
      </c>
    </row>
    <row r="48" spans="1:12" x14ac:dyDescent="0.25">
      <c r="A48" t="s">
        <v>284</v>
      </c>
      <c r="B48" t="s">
        <v>226</v>
      </c>
      <c r="C48" t="s">
        <v>33</v>
      </c>
      <c r="D48">
        <v>14</v>
      </c>
      <c r="E48" s="4">
        <v>45218</v>
      </c>
      <c r="F48" s="15">
        <v>0.33333333333333331</v>
      </c>
      <c r="G48" s="15">
        <v>0.33333333333333331</v>
      </c>
      <c r="H48" t="s">
        <v>40</v>
      </c>
      <c r="I48" t="s">
        <v>372</v>
      </c>
      <c r="J48" t="s">
        <v>218</v>
      </c>
      <c r="K48" s="21">
        <v>45317.6875</v>
      </c>
      <c r="L48">
        <f>SUMIF(C$2:C48, historico_movimientos[[#This Row],[id_producto]],D$2:D48)</f>
        <v>14</v>
      </c>
    </row>
    <row r="49" spans="1:12" x14ac:dyDescent="0.25">
      <c r="A49" t="s">
        <v>285</v>
      </c>
      <c r="B49" t="s">
        <v>226</v>
      </c>
      <c r="C49" t="s">
        <v>31</v>
      </c>
      <c r="D49">
        <v>4</v>
      </c>
      <c r="E49" s="4">
        <v>45218</v>
      </c>
      <c r="F49" s="15">
        <v>0.33333333333333331</v>
      </c>
      <c r="G49" s="15">
        <v>0.33333333333333331</v>
      </c>
      <c r="H49" t="s">
        <v>38</v>
      </c>
      <c r="I49" t="s">
        <v>372</v>
      </c>
      <c r="J49" t="s">
        <v>218</v>
      </c>
      <c r="K49" s="21">
        <v>45317.6875</v>
      </c>
      <c r="L49">
        <f>SUMIF(C$2:C49, historico_movimientos[[#This Row],[id_producto]],D$2:D49)</f>
        <v>4</v>
      </c>
    </row>
    <row r="50" spans="1:12" x14ac:dyDescent="0.25">
      <c r="A50" t="s">
        <v>286</v>
      </c>
      <c r="B50" t="s">
        <v>226</v>
      </c>
      <c r="C50" t="s">
        <v>32</v>
      </c>
      <c r="D50">
        <v>21</v>
      </c>
      <c r="E50" s="4">
        <v>45218</v>
      </c>
      <c r="F50" s="15">
        <v>0.33333333333333331</v>
      </c>
      <c r="G50" s="15">
        <v>0.33333333333333331</v>
      </c>
      <c r="H50" t="s">
        <v>39</v>
      </c>
      <c r="I50" t="s">
        <v>372</v>
      </c>
      <c r="J50" t="s">
        <v>218</v>
      </c>
      <c r="K50" s="21">
        <v>45317.6875</v>
      </c>
      <c r="L50">
        <f>SUMIF(C$2:C50, historico_movimientos[[#This Row],[id_producto]],D$2:D50)</f>
        <v>21</v>
      </c>
    </row>
    <row r="51" spans="1:12" x14ac:dyDescent="0.25">
      <c r="A51" t="s">
        <v>287</v>
      </c>
      <c r="B51" t="s">
        <v>226</v>
      </c>
      <c r="C51" t="s">
        <v>44</v>
      </c>
      <c r="D51">
        <v>15</v>
      </c>
      <c r="E51" s="4">
        <v>45218</v>
      </c>
      <c r="F51" s="15">
        <v>0.33333333333333331</v>
      </c>
      <c r="G51" s="15">
        <v>0.33333333333333331</v>
      </c>
      <c r="H51" t="s">
        <v>52</v>
      </c>
      <c r="I51" t="s">
        <v>372</v>
      </c>
      <c r="J51" t="s">
        <v>218</v>
      </c>
      <c r="K51" s="21">
        <v>45317.6875</v>
      </c>
      <c r="L51">
        <f>SUMIF(C$2:C51, historico_movimientos[[#This Row],[id_producto]],D$2:D51)</f>
        <v>15</v>
      </c>
    </row>
    <row r="52" spans="1:12" x14ac:dyDescent="0.25">
      <c r="A52" t="s">
        <v>288</v>
      </c>
      <c r="B52" t="s">
        <v>226</v>
      </c>
      <c r="C52" t="s">
        <v>48</v>
      </c>
      <c r="D52">
        <v>14</v>
      </c>
      <c r="E52" s="4">
        <v>45218</v>
      </c>
      <c r="F52" s="15">
        <v>0.33333333333333331</v>
      </c>
      <c r="G52" s="15">
        <v>0.33333333333333331</v>
      </c>
      <c r="H52" t="s">
        <v>56</v>
      </c>
      <c r="I52" t="s">
        <v>372</v>
      </c>
      <c r="J52" t="s">
        <v>218</v>
      </c>
      <c r="K52" s="21">
        <v>45317.6875</v>
      </c>
      <c r="L52">
        <f>SUMIF(C$2:C52, historico_movimientos[[#This Row],[id_producto]],D$2:D52)</f>
        <v>14</v>
      </c>
    </row>
    <row r="53" spans="1:12" x14ac:dyDescent="0.25">
      <c r="A53" t="s">
        <v>289</v>
      </c>
      <c r="B53" t="s">
        <v>226</v>
      </c>
      <c r="C53" t="s">
        <v>49</v>
      </c>
      <c r="D53">
        <v>15</v>
      </c>
      <c r="E53" s="4">
        <v>45218</v>
      </c>
      <c r="F53" s="15">
        <v>0.33333333333333331</v>
      </c>
      <c r="G53" s="15">
        <v>0.33333333333333331</v>
      </c>
      <c r="H53" t="s">
        <v>57</v>
      </c>
      <c r="I53" t="s">
        <v>372</v>
      </c>
      <c r="J53" t="s">
        <v>218</v>
      </c>
      <c r="K53" s="21">
        <v>45317.6875</v>
      </c>
      <c r="L53">
        <f>SUMIF(C$2:C53, historico_movimientos[[#This Row],[id_producto]],D$2:D53)</f>
        <v>15</v>
      </c>
    </row>
    <row r="54" spans="1:12" x14ac:dyDescent="0.25">
      <c r="A54" t="s">
        <v>290</v>
      </c>
      <c r="B54" t="s">
        <v>226</v>
      </c>
      <c r="C54" t="s">
        <v>47</v>
      </c>
      <c r="D54">
        <v>15</v>
      </c>
      <c r="E54" s="4">
        <v>45218</v>
      </c>
      <c r="F54" s="15">
        <v>0.33333333333333331</v>
      </c>
      <c r="G54" s="15">
        <v>0.33333333333333331</v>
      </c>
      <c r="H54" t="s">
        <v>55</v>
      </c>
      <c r="I54" t="s">
        <v>372</v>
      </c>
      <c r="J54" t="s">
        <v>218</v>
      </c>
      <c r="K54" s="21">
        <v>45317.6875</v>
      </c>
      <c r="L54">
        <f>SUMIF(C$2:C54, historico_movimientos[[#This Row],[id_producto]],D$2:D54)</f>
        <v>15</v>
      </c>
    </row>
    <row r="55" spans="1:12" x14ac:dyDescent="0.25">
      <c r="A55" t="s">
        <v>291</v>
      </c>
      <c r="B55" t="s">
        <v>226</v>
      </c>
      <c r="C55" t="s">
        <v>45</v>
      </c>
      <c r="D55">
        <v>8</v>
      </c>
      <c r="E55" s="4">
        <v>45218</v>
      </c>
      <c r="F55" s="15">
        <v>0.33333333333333331</v>
      </c>
      <c r="G55" s="15">
        <v>0.33333333333333331</v>
      </c>
      <c r="H55" t="s">
        <v>53</v>
      </c>
      <c r="I55" t="s">
        <v>372</v>
      </c>
      <c r="J55" t="s">
        <v>218</v>
      </c>
      <c r="K55" s="21">
        <v>45317.6875</v>
      </c>
      <c r="L55">
        <f>SUMIF(C$2:C55, historico_movimientos[[#This Row],[id_producto]],D$2:D55)</f>
        <v>8</v>
      </c>
    </row>
    <row r="56" spans="1:12" x14ac:dyDescent="0.25">
      <c r="A56" t="s">
        <v>292</v>
      </c>
      <c r="B56" t="s">
        <v>226</v>
      </c>
      <c r="C56" t="s">
        <v>46</v>
      </c>
      <c r="D56">
        <v>46</v>
      </c>
      <c r="E56" s="4">
        <v>45218</v>
      </c>
      <c r="F56" s="15">
        <v>0.33333333333333331</v>
      </c>
      <c r="G56" s="15">
        <v>0.33333333333333331</v>
      </c>
      <c r="H56" t="s">
        <v>54</v>
      </c>
      <c r="I56" t="s">
        <v>372</v>
      </c>
      <c r="J56" t="s">
        <v>218</v>
      </c>
      <c r="K56" s="21">
        <v>45317.6875</v>
      </c>
      <c r="L56">
        <f>SUMIF(C$2:C56, historico_movimientos[[#This Row],[id_producto]],D$2:D56)</f>
        <v>46</v>
      </c>
    </row>
    <row r="57" spans="1:12" x14ac:dyDescent="0.25">
      <c r="A57" t="s">
        <v>293</v>
      </c>
      <c r="B57" t="s">
        <v>226</v>
      </c>
      <c r="C57" t="s">
        <v>15</v>
      </c>
      <c r="D57">
        <v>0</v>
      </c>
      <c r="E57" s="4">
        <v>45218</v>
      </c>
      <c r="F57" s="15">
        <v>0.33333333333333331</v>
      </c>
      <c r="G57" s="15">
        <v>0.33333333333333331</v>
      </c>
      <c r="H57" t="s">
        <v>14</v>
      </c>
      <c r="I57" t="s">
        <v>372</v>
      </c>
      <c r="J57" t="s">
        <v>218</v>
      </c>
      <c r="K57" s="21">
        <v>45317.6875</v>
      </c>
      <c r="L57">
        <f>SUMIF(C$2:C57, historico_movimientos[[#This Row],[id_producto]],D$2:D57)</f>
        <v>0</v>
      </c>
    </row>
    <row r="58" spans="1:12" x14ac:dyDescent="0.25">
      <c r="A58" t="s">
        <v>294</v>
      </c>
      <c r="B58" t="s">
        <v>226</v>
      </c>
      <c r="C58" t="s">
        <v>16</v>
      </c>
      <c r="D58">
        <v>32</v>
      </c>
      <c r="E58" s="4">
        <v>45218</v>
      </c>
      <c r="F58" s="15">
        <v>0.33333333333333331</v>
      </c>
      <c r="G58" s="15">
        <v>0.33333333333333331</v>
      </c>
      <c r="H58" t="s">
        <v>20</v>
      </c>
      <c r="I58" t="s">
        <v>372</v>
      </c>
      <c r="J58" t="s">
        <v>218</v>
      </c>
      <c r="K58" s="21">
        <v>45317.6875</v>
      </c>
      <c r="L58">
        <f>SUMIF(C$2:C58, historico_movimientos[[#This Row],[id_producto]],D$2:D58)</f>
        <v>32</v>
      </c>
    </row>
    <row r="59" spans="1:12" x14ac:dyDescent="0.25">
      <c r="A59" t="s">
        <v>295</v>
      </c>
      <c r="B59" t="s">
        <v>226</v>
      </c>
      <c r="C59" t="s">
        <v>13</v>
      </c>
      <c r="D59">
        <v>51</v>
      </c>
      <c r="E59" s="4">
        <v>45218</v>
      </c>
      <c r="F59" s="15">
        <v>0.33333333333333331</v>
      </c>
      <c r="G59" s="15">
        <v>0.33333333333333331</v>
      </c>
      <c r="H59" t="s">
        <v>12</v>
      </c>
      <c r="I59" t="s">
        <v>372</v>
      </c>
      <c r="J59" t="s">
        <v>218</v>
      </c>
      <c r="K59" s="21">
        <v>45317.6875</v>
      </c>
      <c r="L59">
        <f>SUMIF(C$2:C59, historico_movimientos[[#This Row],[id_producto]],D$2:D59)</f>
        <v>51</v>
      </c>
    </row>
    <row r="60" spans="1:12" x14ac:dyDescent="0.25">
      <c r="A60" t="s">
        <v>296</v>
      </c>
      <c r="B60" t="s">
        <v>226</v>
      </c>
      <c r="C60" t="s">
        <v>9</v>
      </c>
      <c r="D60">
        <v>99</v>
      </c>
      <c r="E60" s="4">
        <v>45218</v>
      </c>
      <c r="F60" s="15">
        <v>0.33333333333333331</v>
      </c>
      <c r="G60" s="15">
        <v>0.33333333333333331</v>
      </c>
      <c r="H60" t="s">
        <v>7</v>
      </c>
      <c r="I60" t="s">
        <v>372</v>
      </c>
      <c r="J60" t="s">
        <v>218</v>
      </c>
      <c r="K60" s="21">
        <v>45317.6875</v>
      </c>
      <c r="L60">
        <f>SUMIF(C$2:C60, historico_movimientos[[#This Row],[id_producto]],D$2:D60)</f>
        <v>99</v>
      </c>
    </row>
    <row r="61" spans="1:12" x14ac:dyDescent="0.25">
      <c r="A61" t="s">
        <v>297</v>
      </c>
      <c r="B61" t="s">
        <v>226</v>
      </c>
      <c r="C61" t="s">
        <v>11</v>
      </c>
      <c r="D61">
        <v>60</v>
      </c>
      <c r="E61" s="4">
        <v>45218</v>
      </c>
      <c r="F61" s="15">
        <v>0.33333333333333331</v>
      </c>
      <c r="G61" s="15">
        <v>0.33333333333333331</v>
      </c>
      <c r="H61" t="s">
        <v>10</v>
      </c>
      <c r="I61" t="s">
        <v>372</v>
      </c>
      <c r="J61" t="s">
        <v>218</v>
      </c>
      <c r="K61" s="21">
        <v>45317.6875</v>
      </c>
      <c r="L61">
        <f>SUMIF(C$2:C61, historico_movimientos[[#This Row],[id_producto]],D$2:D61)</f>
        <v>60</v>
      </c>
    </row>
    <row r="62" spans="1:12" x14ac:dyDescent="0.25">
      <c r="A62" t="s">
        <v>298</v>
      </c>
      <c r="B62" t="s">
        <v>226</v>
      </c>
      <c r="C62" t="s">
        <v>17</v>
      </c>
      <c r="D62">
        <v>10</v>
      </c>
      <c r="E62" s="4">
        <v>45218</v>
      </c>
      <c r="F62" s="15">
        <v>0.33333333333333331</v>
      </c>
      <c r="G62" s="15">
        <v>0.33333333333333331</v>
      </c>
      <c r="H62" t="s">
        <v>21</v>
      </c>
      <c r="I62" t="s">
        <v>372</v>
      </c>
      <c r="J62" t="s">
        <v>218</v>
      </c>
      <c r="K62" s="21">
        <v>45317.6875</v>
      </c>
      <c r="L62">
        <f>SUMIF(C$2:C62, historico_movimientos[[#This Row],[id_producto]],D$2:D62)</f>
        <v>10</v>
      </c>
    </row>
    <row r="63" spans="1:12" x14ac:dyDescent="0.25">
      <c r="A63" t="s">
        <v>299</v>
      </c>
      <c r="B63" t="s">
        <v>226</v>
      </c>
      <c r="C63" t="s">
        <v>29</v>
      </c>
      <c r="D63">
        <v>0</v>
      </c>
      <c r="E63" s="4">
        <v>45218</v>
      </c>
      <c r="F63" s="15">
        <v>0.33333333333333331</v>
      </c>
      <c r="G63" s="15">
        <v>0.33333333333333331</v>
      </c>
      <c r="H63" t="s">
        <v>36</v>
      </c>
      <c r="I63" t="s">
        <v>372</v>
      </c>
      <c r="J63" t="s">
        <v>218</v>
      </c>
      <c r="K63" s="21">
        <v>45317.6875</v>
      </c>
      <c r="L63">
        <f>SUMIF(C$2:C63, historico_movimientos[[#This Row],[id_producto]],D$2:D63)</f>
        <v>0</v>
      </c>
    </row>
    <row r="64" spans="1:12" x14ac:dyDescent="0.25">
      <c r="A64" t="s">
        <v>300</v>
      </c>
      <c r="B64" t="s">
        <v>226</v>
      </c>
      <c r="C64" t="s">
        <v>30</v>
      </c>
      <c r="D64">
        <v>35</v>
      </c>
      <c r="E64" s="4">
        <v>45218</v>
      </c>
      <c r="F64" s="15">
        <v>0.33333333333333331</v>
      </c>
      <c r="G64" s="15">
        <v>0.33333333333333331</v>
      </c>
      <c r="H64" t="s">
        <v>37</v>
      </c>
      <c r="I64" t="s">
        <v>372</v>
      </c>
      <c r="J64" t="s">
        <v>218</v>
      </c>
      <c r="K64" s="21">
        <v>45317.6875</v>
      </c>
      <c r="L64">
        <f>SUMIF(C$2:C64, historico_movimientos[[#This Row],[id_producto]],D$2:D64)</f>
        <v>35</v>
      </c>
    </row>
    <row r="65" spans="1:12" x14ac:dyDescent="0.25">
      <c r="A65" t="s">
        <v>301</v>
      </c>
      <c r="B65" t="s">
        <v>226</v>
      </c>
      <c r="C65" t="s">
        <v>27</v>
      </c>
      <c r="D65">
        <v>9</v>
      </c>
      <c r="E65" s="4">
        <v>45218</v>
      </c>
      <c r="F65" s="15">
        <v>0.33333333333333331</v>
      </c>
      <c r="G65" s="15">
        <v>0.33333333333333331</v>
      </c>
      <c r="H65" t="s">
        <v>28</v>
      </c>
      <c r="I65" t="s">
        <v>372</v>
      </c>
      <c r="J65" t="s">
        <v>218</v>
      </c>
      <c r="K65" s="21">
        <v>45317.6875</v>
      </c>
      <c r="L65">
        <f>SUMIF(C$2:C65, historico_movimientos[[#This Row],[id_producto]],D$2:D65)</f>
        <v>9</v>
      </c>
    </row>
    <row r="66" spans="1:12" x14ac:dyDescent="0.25">
      <c r="A66" t="s">
        <v>302</v>
      </c>
      <c r="B66" t="s">
        <v>226</v>
      </c>
      <c r="C66" t="s">
        <v>18</v>
      </c>
      <c r="D66">
        <v>17</v>
      </c>
      <c r="E66" s="4">
        <v>45218</v>
      </c>
      <c r="F66" s="15">
        <v>0.33333333333333331</v>
      </c>
      <c r="G66" s="15">
        <v>0.33333333333333331</v>
      </c>
      <c r="H66" t="s">
        <v>22</v>
      </c>
      <c r="I66" t="s">
        <v>372</v>
      </c>
      <c r="J66" t="s">
        <v>218</v>
      </c>
      <c r="K66" s="21">
        <v>45317.6875</v>
      </c>
      <c r="L66">
        <f>SUMIF(C$2:C66, historico_movimientos[[#This Row],[id_producto]],D$2:D66)</f>
        <v>17</v>
      </c>
    </row>
    <row r="67" spans="1:12" x14ac:dyDescent="0.25">
      <c r="A67" t="s">
        <v>303</v>
      </c>
      <c r="B67" t="s">
        <v>226</v>
      </c>
      <c r="C67" t="s">
        <v>19</v>
      </c>
      <c r="D67">
        <v>21</v>
      </c>
      <c r="E67" s="4">
        <v>45218</v>
      </c>
      <c r="F67" s="15">
        <v>0.33333333333333331</v>
      </c>
      <c r="G67" s="15">
        <v>0.33333333333333331</v>
      </c>
      <c r="H67" t="s">
        <v>23</v>
      </c>
      <c r="I67" t="s">
        <v>372</v>
      </c>
      <c r="J67" t="s">
        <v>218</v>
      </c>
      <c r="K67" s="21">
        <v>45317.6875</v>
      </c>
      <c r="L67">
        <f>SUMIF(C$2:C67, historico_movimientos[[#This Row],[id_producto]],D$2:D67)</f>
        <v>21</v>
      </c>
    </row>
    <row r="68" spans="1:12" x14ac:dyDescent="0.25">
      <c r="A68" t="s">
        <v>304</v>
      </c>
      <c r="B68" t="s">
        <v>226</v>
      </c>
      <c r="C68" t="s">
        <v>86</v>
      </c>
      <c r="D68">
        <v>37</v>
      </c>
      <c r="E68" s="4">
        <v>45218</v>
      </c>
      <c r="F68" s="15">
        <v>0.33333333333333331</v>
      </c>
      <c r="G68" s="15">
        <v>0.33333333333333331</v>
      </c>
      <c r="H68" t="s">
        <v>93</v>
      </c>
      <c r="I68" t="s">
        <v>372</v>
      </c>
      <c r="J68" t="s">
        <v>218</v>
      </c>
      <c r="K68" s="21">
        <v>45317.6875</v>
      </c>
      <c r="L68">
        <f>SUMIF(C$2:C68, historico_movimientos[[#This Row],[id_producto]],D$2:D68)</f>
        <v>37</v>
      </c>
    </row>
    <row r="69" spans="1:12" x14ac:dyDescent="0.25">
      <c r="A69" t="s">
        <v>305</v>
      </c>
      <c r="B69" t="s">
        <v>226</v>
      </c>
      <c r="C69" t="s">
        <v>96</v>
      </c>
      <c r="D69">
        <v>39</v>
      </c>
      <c r="E69" s="4">
        <v>45218</v>
      </c>
      <c r="F69" s="15">
        <v>0.33333333333333331</v>
      </c>
      <c r="G69" s="15">
        <v>0.33333333333333331</v>
      </c>
      <c r="H69" t="s">
        <v>73</v>
      </c>
      <c r="I69" t="s">
        <v>372</v>
      </c>
      <c r="J69" t="s">
        <v>218</v>
      </c>
      <c r="K69" s="21">
        <v>45317.6875</v>
      </c>
      <c r="L69">
        <f>SUMIF(C$2:C69, historico_movimientos[[#This Row],[id_producto]],D$2:D69)</f>
        <v>39</v>
      </c>
    </row>
    <row r="70" spans="1:12" x14ac:dyDescent="0.25">
      <c r="A70" t="s">
        <v>306</v>
      </c>
      <c r="B70" t="s">
        <v>226</v>
      </c>
      <c r="C70" t="s">
        <v>85</v>
      </c>
      <c r="D70">
        <v>16</v>
      </c>
      <c r="E70" s="4">
        <v>45218</v>
      </c>
      <c r="F70" s="15">
        <v>0.33333333333333331</v>
      </c>
      <c r="G70" s="15">
        <v>0.33333333333333331</v>
      </c>
      <c r="H70" t="s">
        <v>92</v>
      </c>
      <c r="I70" t="s">
        <v>372</v>
      </c>
      <c r="J70" t="s">
        <v>218</v>
      </c>
      <c r="K70" s="21">
        <v>45317.6875</v>
      </c>
      <c r="L70">
        <f>SUMIF(C$2:C70, historico_movimientos[[#This Row],[id_producto]],D$2:D70)</f>
        <v>16</v>
      </c>
    </row>
    <row r="71" spans="1:12" x14ac:dyDescent="0.25">
      <c r="A71" t="s">
        <v>307</v>
      </c>
      <c r="B71" t="s">
        <v>226</v>
      </c>
      <c r="C71" t="s">
        <v>83</v>
      </c>
      <c r="D71">
        <v>16</v>
      </c>
      <c r="E71" s="4">
        <v>45218</v>
      </c>
      <c r="F71" s="15">
        <v>0.33333333333333331</v>
      </c>
      <c r="G71" s="15">
        <v>0.33333333333333331</v>
      </c>
      <c r="H71" t="s">
        <v>90</v>
      </c>
      <c r="I71" t="s">
        <v>372</v>
      </c>
      <c r="J71" t="s">
        <v>218</v>
      </c>
      <c r="K71" s="21">
        <v>45317.6875</v>
      </c>
      <c r="L71">
        <f>SUMIF(C$2:C71, historico_movimientos[[#This Row],[id_producto]],D$2:D71)</f>
        <v>16</v>
      </c>
    </row>
    <row r="72" spans="1:12" x14ac:dyDescent="0.25">
      <c r="A72" t="s">
        <v>308</v>
      </c>
      <c r="B72" t="s">
        <v>226</v>
      </c>
      <c r="C72" t="s">
        <v>84</v>
      </c>
      <c r="D72">
        <v>39</v>
      </c>
      <c r="E72" s="4">
        <v>45218</v>
      </c>
      <c r="F72" s="15">
        <v>0.33333333333333331</v>
      </c>
      <c r="G72" s="15">
        <v>0.33333333333333331</v>
      </c>
      <c r="H72" t="s">
        <v>91</v>
      </c>
      <c r="I72" t="s">
        <v>372</v>
      </c>
      <c r="J72" t="s">
        <v>218</v>
      </c>
      <c r="K72" s="21">
        <v>45317.6875</v>
      </c>
      <c r="L72">
        <f>SUMIF(C$2:C72, historico_movimientos[[#This Row],[id_producto]],D$2:D72)</f>
        <v>39</v>
      </c>
    </row>
    <row r="73" spans="1:12" x14ac:dyDescent="0.25">
      <c r="A73" t="s">
        <v>309</v>
      </c>
      <c r="B73" t="s">
        <v>226</v>
      </c>
      <c r="C73" t="s">
        <v>97</v>
      </c>
      <c r="D73">
        <v>17</v>
      </c>
      <c r="E73" s="4">
        <v>45218</v>
      </c>
      <c r="F73" s="15">
        <v>0.33333333333333331</v>
      </c>
      <c r="G73" s="15">
        <v>0.33333333333333331</v>
      </c>
      <c r="H73" t="s">
        <v>76</v>
      </c>
      <c r="I73" t="s">
        <v>372</v>
      </c>
      <c r="J73" t="s">
        <v>218</v>
      </c>
      <c r="K73" s="21">
        <v>45317.6875</v>
      </c>
      <c r="L73">
        <f>SUMIF(C$2:C73, historico_movimientos[[#This Row],[id_producto]],D$2:D73)</f>
        <v>17</v>
      </c>
    </row>
    <row r="74" spans="1:12" x14ac:dyDescent="0.25">
      <c r="A74" t="s">
        <v>310</v>
      </c>
      <c r="B74" t="s">
        <v>226</v>
      </c>
      <c r="C74" t="s">
        <v>108</v>
      </c>
      <c r="D74">
        <v>73</v>
      </c>
      <c r="E74" s="4">
        <v>45218</v>
      </c>
      <c r="F74" s="15">
        <v>0.33333333333333331</v>
      </c>
      <c r="G74" s="15">
        <v>0.33333333333333331</v>
      </c>
      <c r="H74" t="s">
        <v>104</v>
      </c>
      <c r="I74" t="s">
        <v>372</v>
      </c>
      <c r="J74" t="s">
        <v>218</v>
      </c>
      <c r="K74" s="21">
        <v>45317.6875</v>
      </c>
      <c r="L74">
        <f>SUMIF(C$2:C74, historico_movimientos[[#This Row],[id_producto]],D$2:D74)</f>
        <v>73</v>
      </c>
    </row>
    <row r="75" spans="1:12" x14ac:dyDescent="0.25">
      <c r="A75" t="s">
        <v>311</v>
      </c>
      <c r="B75" t="s">
        <v>226</v>
      </c>
      <c r="C75" t="s">
        <v>109</v>
      </c>
      <c r="D75">
        <v>36</v>
      </c>
      <c r="E75" s="4">
        <v>45218</v>
      </c>
      <c r="F75" s="15">
        <v>0.33333333333333331</v>
      </c>
      <c r="G75" s="15">
        <v>0.33333333333333331</v>
      </c>
      <c r="H75" t="s">
        <v>105</v>
      </c>
      <c r="I75" t="s">
        <v>372</v>
      </c>
      <c r="J75" t="s">
        <v>218</v>
      </c>
      <c r="K75" s="21">
        <v>45317.6875</v>
      </c>
      <c r="L75">
        <f>SUMIF(C$2:C75, historico_movimientos[[#This Row],[id_producto]],D$2:D75)</f>
        <v>36</v>
      </c>
    </row>
    <row r="76" spans="1:12" x14ac:dyDescent="0.25">
      <c r="A76" t="s">
        <v>312</v>
      </c>
      <c r="B76" t="s">
        <v>226</v>
      </c>
      <c r="C76" t="s">
        <v>107</v>
      </c>
      <c r="D76">
        <v>67</v>
      </c>
      <c r="E76" s="4">
        <v>45218</v>
      </c>
      <c r="F76" s="15">
        <v>0.33333333333333331</v>
      </c>
      <c r="G76" s="15">
        <v>0.33333333333333331</v>
      </c>
      <c r="H76" t="s">
        <v>103</v>
      </c>
      <c r="I76" t="s">
        <v>372</v>
      </c>
      <c r="J76" t="s">
        <v>218</v>
      </c>
      <c r="K76" s="21">
        <v>45317.6875</v>
      </c>
      <c r="L76">
        <f>SUMIF(C$2:C76, historico_movimientos[[#This Row],[id_producto]],D$2:D76)</f>
        <v>67</v>
      </c>
    </row>
    <row r="77" spans="1:12" x14ac:dyDescent="0.25">
      <c r="A77" t="s">
        <v>313</v>
      </c>
      <c r="B77" t="s">
        <v>226</v>
      </c>
      <c r="C77" t="s">
        <v>98</v>
      </c>
      <c r="D77">
        <v>23</v>
      </c>
      <c r="E77" s="4">
        <v>45218</v>
      </c>
      <c r="F77" s="15">
        <v>0.33333333333333331</v>
      </c>
      <c r="G77" s="15">
        <v>0.33333333333333331</v>
      </c>
      <c r="H77" t="s">
        <v>77</v>
      </c>
      <c r="I77" t="s">
        <v>372</v>
      </c>
      <c r="J77" t="s">
        <v>218</v>
      </c>
      <c r="K77" s="21">
        <v>45317.6875</v>
      </c>
      <c r="L77">
        <f>SUMIF(C$2:C77, historico_movimientos[[#This Row],[id_producto]],D$2:D77)</f>
        <v>23</v>
      </c>
    </row>
    <row r="78" spans="1:12" x14ac:dyDescent="0.25">
      <c r="A78" t="s">
        <v>314</v>
      </c>
      <c r="B78" t="s">
        <v>226</v>
      </c>
      <c r="C78" t="s">
        <v>101</v>
      </c>
      <c r="D78">
        <v>24</v>
      </c>
      <c r="E78" s="4">
        <v>45218</v>
      </c>
      <c r="F78" s="15">
        <v>0.33333333333333331</v>
      </c>
      <c r="G78" s="15">
        <v>0.33333333333333331</v>
      </c>
      <c r="H78" t="s">
        <v>102</v>
      </c>
      <c r="I78" t="s">
        <v>372</v>
      </c>
      <c r="J78" t="s">
        <v>218</v>
      </c>
      <c r="K78" s="21">
        <v>45317.6875</v>
      </c>
      <c r="L78">
        <f>SUMIF(C$2:C78, historico_movimientos[[#This Row],[id_producto]],D$2:D78)</f>
        <v>24</v>
      </c>
    </row>
    <row r="79" spans="1:12" x14ac:dyDescent="0.25">
      <c r="A79" t="s">
        <v>315</v>
      </c>
      <c r="B79" t="s">
        <v>226</v>
      </c>
      <c r="C79" t="s">
        <v>63</v>
      </c>
      <c r="D79">
        <v>32</v>
      </c>
      <c r="E79" s="4">
        <v>45218</v>
      </c>
      <c r="F79" s="15">
        <v>0.33333333333333331</v>
      </c>
      <c r="G79" s="15">
        <v>0.33333333333333331</v>
      </c>
      <c r="H79" t="s">
        <v>70</v>
      </c>
      <c r="I79" t="s">
        <v>372</v>
      </c>
      <c r="J79" t="s">
        <v>218</v>
      </c>
      <c r="K79" s="21">
        <v>45317.6875</v>
      </c>
      <c r="L79">
        <f>SUMIF(C$2:C79, historico_movimientos[[#This Row],[id_producto]],D$2:D79)</f>
        <v>32</v>
      </c>
    </row>
    <row r="80" spans="1:12" x14ac:dyDescent="0.25">
      <c r="A80" t="s">
        <v>316</v>
      </c>
      <c r="B80" t="s">
        <v>226</v>
      </c>
      <c r="C80" t="s">
        <v>64</v>
      </c>
      <c r="D80">
        <v>30</v>
      </c>
      <c r="E80" s="4">
        <v>45218</v>
      </c>
      <c r="F80" s="15">
        <v>0.33333333333333331</v>
      </c>
      <c r="G80" s="15">
        <v>0.33333333333333331</v>
      </c>
      <c r="H80" t="s">
        <v>71</v>
      </c>
      <c r="I80" t="s">
        <v>372</v>
      </c>
      <c r="J80" t="s">
        <v>218</v>
      </c>
      <c r="K80" s="21">
        <v>45317.6875</v>
      </c>
      <c r="L80">
        <f>SUMIF(C$2:C80, historico_movimientos[[#This Row],[id_producto]],D$2:D80)</f>
        <v>30</v>
      </c>
    </row>
    <row r="81" spans="1:13" x14ac:dyDescent="0.25">
      <c r="A81" t="s">
        <v>317</v>
      </c>
      <c r="B81" t="s">
        <v>226</v>
      </c>
      <c r="C81" t="s">
        <v>62</v>
      </c>
      <c r="D81">
        <v>26</v>
      </c>
      <c r="E81" s="4">
        <v>45218</v>
      </c>
      <c r="F81" s="15">
        <v>0.33333333333333331</v>
      </c>
      <c r="G81" s="15">
        <v>0.33333333333333331</v>
      </c>
      <c r="H81" t="s">
        <v>69</v>
      </c>
      <c r="I81" t="s">
        <v>372</v>
      </c>
      <c r="J81" t="s">
        <v>218</v>
      </c>
      <c r="K81" s="21">
        <v>45317.6875</v>
      </c>
      <c r="L81">
        <f>SUMIF(C$2:C81, historico_movimientos[[#This Row],[id_producto]],D$2:D81)</f>
        <v>26</v>
      </c>
    </row>
    <row r="82" spans="1:13" x14ac:dyDescent="0.25">
      <c r="A82" t="s">
        <v>318</v>
      </c>
      <c r="B82" t="s">
        <v>226</v>
      </c>
      <c r="C82" t="s">
        <v>50</v>
      </c>
      <c r="D82">
        <v>13</v>
      </c>
      <c r="E82" s="4">
        <v>45218</v>
      </c>
      <c r="F82" s="15">
        <v>0.33333333333333331</v>
      </c>
      <c r="G82" s="15">
        <v>0.33333333333333331</v>
      </c>
      <c r="H82" t="s">
        <v>58</v>
      </c>
      <c r="I82" t="s">
        <v>372</v>
      </c>
      <c r="J82" t="s">
        <v>218</v>
      </c>
      <c r="K82" s="21">
        <v>45317.6875</v>
      </c>
      <c r="L82">
        <f>SUMIF(C$2:C82, historico_movimientos[[#This Row],[id_producto]],D$2:D82)</f>
        <v>13</v>
      </c>
    </row>
    <row r="83" spans="1:13" x14ac:dyDescent="0.25">
      <c r="A83" t="s">
        <v>319</v>
      </c>
      <c r="B83" t="s">
        <v>226</v>
      </c>
      <c r="C83" t="s">
        <v>61</v>
      </c>
      <c r="D83">
        <v>126</v>
      </c>
      <c r="E83" s="4">
        <v>45218</v>
      </c>
      <c r="F83" s="15">
        <v>0.33333333333333331</v>
      </c>
      <c r="G83" s="15">
        <v>0.33333333333333331</v>
      </c>
      <c r="H83" t="s">
        <v>68</v>
      </c>
      <c r="I83" t="s">
        <v>372</v>
      </c>
      <c r="J83" t="s">
        <v>218</v>
      </c>
      <c r="K83" s="21">
        <v>45317.6875</v>
      </c>
      <c r="L83">
        <f>SUMIF(C$2:C83, historico_movimientos[[#This Row],[id_producto]],D$2:D83)</f>
        <v>126</v>
      </c>
    </row>
    <row r="84" spans="1:13" x14ac:dyDescent="0.25">
      <c r="A84" t="s">
        <v>320</v>
      </c>
      <c r="B84" t="s">
        <v>226</v>
      </c>
      <c r="C84" t="s">
        <v>65</v>
      </c>
      <c r="D84">
        <v>28</v>
      </c>
      <c r="E84" s="4">
        <v>45218</v>
      </c>
      <c r="F84" s="15">
        <v>0.33333333333333331</v>
      </c>
      <c r="G84" s="15">
        <v>0.33333333333333331</v>
      </c>
      <c r="H84" t="s">
        <v>75</v>
      </c>
      <c r="I84" t="s">
        <v>372</v>
      </c>
      <c r="J84" t="s">
        <v>218</v>
      </c>
      <c r="K84" s="21">
        <v>45317.6875</v>
      </c>
      <c r="L84">
        <f>SUMIF(C$2:C84, historico_movimientos[[#This Row],[id_producto]],D$2:D84)</f>
        <v>28</v>
      </c>
    </row>
    <row r="85" spans="1:13" x14ac:dyDescent="0.25">
      <c r="A85" t="s">
        <v>321</v>
      </c>
      <c r="B85" t="s">
        <v>226</v>
      </c>
      <c r="C85" t="s">
        <v>81</v>
      </c>
      <c r="D85">
        <v>16</v>
      </c>
      <c r="E85" s="4">
        <v>45218</v>
      </c>
      <c r="F85" s="15">
        <v>0.33333333333333331</v>
      </c>
      <c r="G85" s="15">
        <v>0.33333333333333331</v>
      </c>
      <c r="H85" t="s">
        <v>88</v>
      </c>
      <c r="I85" t="s">
        <v>372</v>
      </c>
      <c r="J85" t="s">
        <v>218</v>
      </c>
      <c r="K85" s="21">
        <v>45317.6875</v>
      </c>
      <c r="L85">
        <f>SUMIF(C$2:C85, historico_movimientos[[#This Row],[id_producto]],D$2:D85)</f>
        <v>16</v>
      </c>
    </row>
    <row r="86" spans="1:13" x14ac:dyDescent="0.25">
      <c r="A86" t="s">
        <v>322</v>
      </c>
      <c r="B86" t="s">
        <v>226</v>
      </c>
      <c r="C86" t="s">
        <v>82</v>
      </c>
      <c r="D86">
        <v>39</v>
      </c>
      <c r="E86" s="4">
        <v>45218</v>
      </c>
      <c r="F86" s="15">
        <v>0.33333333333333331</v>
      </c>
      <c r="G86" s="15">
        <v>0.33333333333333331</v>
      </c>
      <c r="H86" t="s">
        <v>89</v>
      </c>
      <c r="I86" t="s">
        <v>372</v>
      </c>
      <c r="J86" t="s">
        <v>218</v>
      </c>
      <c r="K86" s="21">
        <v>45317.6875</v>
      </c>
      <c r="L86">
        <f>SUMIF(C$2:C86, historico_movimientos[[#This Row],[id_producto]],D$2:D86)</f>
        <v>39</v>
      </c>
    </row>
    <row r="87" spans="1:13" x14ac:dyDescent="0.25">
      <c r="A87" t="s">
        <v>323</v>
      </c>
      <c r="B87" t="s">
        <v>226</v>
      </c>
      <c r="C87" t="s">
        <v>80</v>
      </c>
      <c r="D87">
        <v>127</v>
      </c>
      <c r="E87" s="4">
        <v>45218</v>
      </c>
      <c r="F87" s="15">
        <v>0.33333333333333331</v>
      </c>
      <c r="G87" s="15">
        <v>0.33333333333333331</v>
      </c>
      <c r="H87" t="s">
        <v>87</v>
      </c>
      <c r="I87" t="s">
        <v>372</v>
      </c>
      <c r="J87" t="s">
        <v>218</v>
      </c>
      <c r="K87" s="21">
        <v>45317.6875</v>
      </c>
      <c r="L87">
        <f>SUMIF(C$2:C87, historico_movimientos[[#This Row],[id_producto]],D$2:D87)</f>
        <v>127</v>
      </c>
    </row>
    <row r="88" spans="1:13" x14ac:dyDescent="0.25">
      <c r="A88" t="s">
        <v>324</v>
      </c>
      <c r="B88" t="s">
        <v>226</v>
      </c>
      <c r="C88" t="s">
        <v>66</v>
      </c>
      <c r="D88">
        <v>19</v>
      </c>
      <c r="E88" s="4">
        <v>45218</v>
      </c>
      <c r="F88" s="15">
        <v>0.33333333333333331</v>
      </c>
      <c r="G88" s="15">
        <v>0.33333333333333331</v>
      </c>
      <c r="H88" t="s">
        <v>74</v>
      </c>
      <c r="I88" t="s">
        <v>372</v>
      </c>
      <c r="J88" t="s">
        <v>218</v>
      </c>
      <c r="K88" s="21">
        <v>45317.6875</v>
      </c>
      <c r="L88">
        <f>SUMIF(C$2:C88, historico_movimientos[[#This Row],[id_producto]],D$2:D88)</f>
        <v>19</v>
      </c>
    </row>
    <row r="89" spans="1:13" x14ac:dyDescent="0.25">
      <c r="A89" t="s">
        <v>325</v>
      </c>
      <c r="B89" t="s">
        <v>226</v>
      </c>
      <c r="C89" t="s">
        <v>67</v>
      </c>
      <c r="D89">
        <v>4</v>
      </c>
      <c r="E89" s="4">
        <v>45218</v>
      </c>
      <c r="F89" s="15">
        <v>0.33333333333333331</v>
      </c>
      <c r="G89" s="15">
        <v>0.33333333333333331</v>
      </c>
      <c r="H89" t="s">
        <v>78</v>
      </c>
      <c r="I89" t="s">
        <v>372</v>
      </c>
      <c r="J89" t="s">
        <v>218</v>
      </c>
      <c r="K89" s="21">
        <v>45317.6875</v>
      </c>
      <c r="L89">
        <f>SUMIF(C$2:C89, historico_movimientos[[#This Row],[id_producto]],D$2:D89)</f>
        <v>4</v>
      </c>
    </row>
    <row r="90" spans="1:13" x14ac:dyDescent="0.25">
      <c r="A90" t="s">
        <v>233</v>
      </c>
      <c r="B90" t="s">
        <v>227</v>
      </c>
      <c r="C90" t="s">
        <v>9</v>
      </c>
      <c r="D90">
        <v>-3</v>
      </c>
      <c r="E90" s="4">
        <v>45219</v>
      </c>
      <c r="F90" s="15">
        <v>0.33333333333333331</v>
      </c>
      <c r="G90" s="15">
        <v>0.33333333333333331</v>
      </c>
      <c r="H90" t="s">
        <v>7</v>
      </c>
      <c r="I90" t="s">
        <v>372</v>
      </c>
      <c r="J90" t="s">
        <v>224</v>
      </c>
      <c r="K90" s="21">
        <v>45317.693055555559</v>
      </c>
      <c r="L90">
        <f>SUMIF(C$2:C90, historico_movimientos[[#This Row],[id_producto]],D$2:D90)</f>
        <v>96</v>
      </c>
    </row>
    <row r="91" spans="1:13" x14ac:dyDescent="0.25">
      <c r="A91" t="s">
        <v>234</v>
      </c>
      <c r="B91" t="s">
        <v>227</v>
      </c>
      <c r="C91" t="s">
        <v>9</v>
      </c>
      <c r="D91">
        <v>-60</v>
      </c>
      <c r="E91" s="4">
        <v>45224</v>
      </c>
      <c r="F91" s="15">
        <v>0.33333333333333331</v>
      </c>
      <c r="G91" s="15">
        <v>0.33333333333333331</v>
      </c>
      <c r="H91" t="s">
        <v>7</v>
      </c>
      <c r="I91" t="s">
        <v>372</v>
      </c>
      <c r="J91" t="s">
        <v>224</v>
      </c>
      <c r="K91" s="21">
        <v>45317.693055555559</v>
      </c>
      <c r="L91">
        <f>SUMIF(C$2:C91, historico_movimientos[[#This Row],[id_producto]],D$2:D91)</f>
        <v>36</v>
      </c>
      <c r="M91" s="4"/>
    </row>
    <row r="92" spans="1:13" x14ac:dyDescent="0.25">
      <c r="A92" t="s">
        <v>235</v>
      </c>
      <c r="B92" t="s">
        <v>227</v>
      </c>
      <c r="C92" t="s">
        <v>9</v>
      </c>
      <c r="D92">
        <v>-2</v>
      </c>
      <c r="E92" s="4">
        <v>45224</v>
      </c>
      <c r="F92" s="15">
        <v>0.33333333333333331</v>
      </c>
      <c r="G92" s="15">
        <v>0.33333333333333331</v>
      </c>
      <c r="H92" t="s">
        <v>7</v>
      </c>
      <c r="I92" t="s">
        <v>372</v>
      </c>
      <c r="J92" t="s">
        <v>224</v>
      </c>
      <c r="K92" s="21">
        <v>45317.693055555559</v>
      </c>
      <c r="L92">
        <f>SUMIF(C$2:C92, historico_movimientos[[#This Row],[id_producto]],D$2:D92)</f>
        <v>34</v>
      </c>
    </row>
    <row r="93" spans="1:13" x14ac:dyDescent="0.25">
      <c r="A93" t="s">
        <v>326</v>
      </c>
      <c r="B93" t="s">
        <v>227</v>
      </c>
      <c r="C93" t="s">
        <v>11</v>
      </c>
      <c r="D93">
        <v>-20</v>
      </c>
      <c r="E93" s="4">
        <v>45255</v>
      </c>
      <c r="F93" s="15">
        <v>0.33333333333333331</v>
      </c>
      <c r="G93" s="15">
        <v>0.33333333333333331</v>
      </c>
      <c r="H93" t="s">
        <v>7</v>
      </c>
      <c r="I93" t="s">
        <v>372</v>
      </c>
      <c r="J93" t="s">
        <v>224</v>
      </c>
      <c r="K93" s="21">
        <v>45317.698611111111</v>
      </c>
      <c r="L93">
        <f>SUMIF(C$2:C93, historico_movimientos[[#This Row],[id_producto]],D$2:D93)</f>
        <v>40</v>
      </c>
    </row>
    <row r="94" spans="1:13" x14ac:dyDescent="0.25">
      <c r="A94" t="s">
        <v>236</v>
      </c>
      <c r="B94" t="s">
        <v>227</v>
      </c>
      <c r="C94" t="s">
        <v>9</v>
      </c>
      <c r="D94">
        <v>-5</v>
      </c>
      <c r="E94" s="4">
        <v>45255</v>
      </c>
      <c r="F94" s="15">
        <v>0.33333333333333331</v>
      </c>
      <c r="G94" s="15">
        <v>0.33333333333333331</v>
      </c>
      <c r="H94" t="s">
        <v>7</v>
      </c>
      <c r="I94" t="s">
        <v>372</v>
      </c>
      <c r="J94" t="s">
        <v>224</v>
      </c>
      <c r="K94" s="21">
        <v>45317.693055555559</v>
      </c>
      <c r="L94">
        <f>SUMIF(C$2:C94, historico_movimientos[[#This Row],[id_producto]],D$2:D94)</f>
        <v>29</v>
      </c>
    </row>
    <row r="95" spans="1:13" x14ac:dyDescent="0.25">
      <c r="A95" t="s">
        <v>237</v>
      </c>
      <c r="B95" t="s">
        <v>227</v>
      </c>
      <c r="C95" t="s">
        <v>11</v>
      </c>
      <c r="D95">
        <v>-3</v>
      </c>
      <c r="E95" s="4">
        <v>45302</v>
      </c>
      <c r="F95" s="15">
        <v>0.33333333333333331</v>
      </c>
      <c r="G95" s="15">
        <v>0.33333333333333331</v>
      </c>
      <c r="H95" t="s">
        <v>10</v>
      </c>
      <c r="I95" t="s">
        <v>372</v>
      </c>
      <c r="J95" t="s">
        <v>224</v>
      </c>
      <c r="K95" s="21">
        <v>45317.698611111111</v>
      </c>
      <c r="L95">
        <f>SUMIF(C$2:C95, historico_movimientos[[#This Row],[id_producto]],D$2:D95)</f>
        <v>37</v>
      </c>
    </row>
    <row r="96" spans="1:13" x14ac:dyDescent="0.25">
      <c r="A96" t="s">
        <v>327</v>
      </c>
      <c r="B96" t="s">
        <v>227</v>
      </c>
      <c r="C96" t="s">
        <v>9</v>
      </c>
      <c r="D96">
        <v>-5</v>
      </c>
      <c r="E96" s="4">
        <v>45302</v>
      </c>
      <c r="F96" s="15">
        <v>0.33333333333333331</v>
      </c>
      <c r="G96" s="15">
        <v>0.33333333333333331</v>
      </c>
      <c r="H96" t="s">
        <v>7</v>
      </c>
      <c r="I96" t="s">
        <v>372</v>
      </c>
      <c r="J96" t="s">
        <v>224</v>
      </c>
      <c r="K96" s="21">
        <v>45317.693055555559</v>
      </c>
      <c r="L96">
        <f>SUMIF(C$2:C96, historico_movimientos[[#This Row],[id_producto]],D$2:D96)</f>
        <v>24</v>
      </c>
    </row>
    <row r="97" spans="1:12" x14ac:dyDescent="0.25">
      <c r="A97" t="s">
        <v>431</v>
      </c>
      <c r="B97" t="s">
        <v>227</v>
      </c>
      <c r="C97" t="s">
        <v>18</v>
      </c>
      <c r="D97">
        <v>-2</v>
      </c>
      <c r="E97" s="4">
        <v>45329</v>
      </c>
      <c r="F97" s="15">
        <v>0.5031944444444445</v>
      </c>
      <c r="G97" s="15">
        <v>0.5</v>
      </c>
      <c r="H97" t="s">
        <v>22</v>
      </c>
      <c r="I97" t="s">
        <v>372</v>
      </c>
      <c r="J97" t="s">
        <v>224</v>
      </c>
      <c r="K97" s="21">
        <v>45329.503194444442</v>
      </c>
      <c r="L97">
        <f>SUMIF(C$2:C97, historico_movimientos[[#This Row],[id_producto]],D$2:D97)</f>
        <v>15</v>
      </c>
    </row>
    <row r="98" spans="1:12" x14ac:dyDescent="0.25">
      <c r="A98" t="s">
        <v>432</v>
      </c>
      <c r="B98" t="s">
        <v>227</v>
      </c>
      <c r="C98" t="s">
        <v>18</v>
      </c>
      <c r="D98">
        <v>-60</v>
      </c>
      <c r="E98" s="4">
        <v>45329</v>
      </c>
      <c r="F98" s="15">
        <v>0.50603009259259257</v>
      </c>
      <c r="G98" s="15">
        <v>0.5</v>
      </c>
      <c r="H98" t="s">
        <v>22</v>
      </c>
      <c r="I98" t="s">
        <v>372</v>
      </c>
      <c r="J98" t="s">
        <v>224</v>
      </c>
      <c r="K98" s="21">
        <v>45329.506030092591</v>
      </c>
      <c r="L98">
        <f>SUMIF(C$2:C98, historico_movimientos[[#This Row],[id_producto]],D$2:D98)</f>
        <v>-45</v>
      </c>
    </row>
    <row r="99" spans="1:12" x14ac:dyDescent="0.25">
      <c r="A99" t="s">
        <v>433</v>
      </c>
      <c r="B99" t="s">
        <v>227</v>
      </c>
      <c r="C99" t="s">
        <v>11</v>
      </c>
      <c r="D99">
        <v>-2</v>
      </c>
      <c r="E99" s="4">
        <v>45357</v>
      </c>
      <c r="F99" s="15">
        <v>0.65482638888888889</v>
      </c>
      <c r="G99" s="15">
        <v>0.625</v>
      </c>
      <c r="H99" t="s">
        <v>10</v>
      </c>
      <c r="I99" t="s">
        <v>372</v>
      </c>
      <c r="J99" t="s">
        <v>411</v>
      </c>
      <c r="K99" s="21">
        <v>45357.654826388891</v>
      </c>
      <c r="L99">
        <f>SUMIF(C$2:C99, historico_movimientos[[#This Row],[id_producto]],D$2:D99)</f>
        <v>35</v>
      </c>
    </row>
    <row r="100" spans="1:12" x14ac:dyDescent="0.25">
      <c r="A100" t="s">
        <v>434</v>
      </c>
      <c r="B100" t="s">
        <v>227</v>
      </c>
      <c r="C100" t="s">
        <v>9</v>
      </c>
      <c r="D100">
        <v>-3</v>
      </c>
      <c r="E100" s="4">
        <v>45357</v>
      </c>
      <c r="F100" s="15">
        <v>0.65482638888888889</v>
      </c>
      <c r="G100" s="15">
        <v>0.625</v>
      </c>
      <c r="H100" t="s">
        <v>7</v>
      </c>
      <c r="I100" t="s">
        <v>372</v>
      </c>
      <c r="J100" t="s">
        <v>410</v>
      </c>
      <c r="K100" s="21">
        <v>45357.654826388891</v>
      </c>
      <c r="L100">
        <f>SUMIF(C$2:C100, historico_movimientos[[#This Row],[id_producto]],D$2:D100)</f>
        <v>21</v>
      </c>
    </row>
    <row r="101" spans="1:12" x14ac:dyDescent="0.25">
      <c r="A101" t="s">
        <v>435</v>
      </c>
      <c r="B101" t="s">
        <v>227</v>
      </c>
      <c r="C101" t="s">
        <v>164</v>
      </c>
      <c r="D101">
        <v>-5</v>
      </c>
      <c r="E101" s="4">
        <v>45357</v>
      </c>
      <c r="F101" s="15">
        <v>0.71976851851851853</v>
      </c>
      <c r="G101" s="15">
        <v>0.70833333333333337</v>
      </c>
      <c r="H101" t="s">
        <v>165</v>
      </c>
      <c r="I101" t="s">
        <v>132</v>
      </c>
      <c r="K101" s="21">
        <v>45357.719768518517</v>
      </c>
      <c r="L101">
        <f>SUMIF(C$2:C101, historico_movimientos[[#This Row],[id_producto]],D$2:D101)</f>
        <v>62</v>
      </c>
    </row>
    <row r="102" spans="1:12" x14ac:dyDescent="0.25">
      <c r="A102" t="s">
        <v>436</v>
      </c>
      <c r="B102" t="s">
        <v>227</v>
      </c>
      <c r="C102" t="s">
        <v>210</v>
      </c>
      <c r="D102">
        <v>-20</v>
      </c>
      <c r="E102" s="4">
        <v>45357</v>
      </c>
      <c r="F102" s="15">
        <v>0.71976851851851853</v>
      </c>
      <c r="G102" s="15">
        <v>0.70833333333333337</v>
      </c>
      <c r="H102" t="s">
        <v>199</v>
      </c>
      <c r="I102" t="s">
        <v>216</v>
      </c>
      <c r="K102" s="21">
        <v>45357.719768518517</v>
      </c>
      <c r="L102">
        <f>SUMIF(C$2:C102, historico_movimientos[[#This Row],[id_producto]],D$2:D102)</f>
        <v>-10</v>
      </c>
    </row>
    <row r="103" spans="1:12" x14ac:dyDescent="0.25">
      <c r="A103" t="s">
        <v>437</v>
      </c>
      <c r="B103" t="s">
        <v>227</v>
      </c>
      <c r="C103" t="s">
        <v>134</v>
      </c>
      <c r="D103">
        <v>-60</v>
      </c>
      <c r="E103" s="4">
        <v>45357</v>
      </c>
      <c r="F103" s="15">
        <v>0.71976851851851853</v>
      </c>
      <c r="G103" s="15">
        <v>0.70833333333333337</v>
      </c>
      <c r="H103" t="s">
        <v>128</v>
      </c>
      <c r="I103" t="s">
        <v>127</v>
      </c>
      <c r="K103" s="21">
        <v>45357.719768518517</v>
      </c>
      <c r="L103">
        <f>SUMIF(C$2:C103, historico_movimientos[[#This Row],[id_producto]],D$2:D103)</f>
        <v>-59</v>
      </c>
    </row>
    <row r="104" spans="1:12" x14ac:dyDescent="0.25">
      <c r="A104" t="s">
        <v>438</v>
      </c>
      <c r="B104" t="s">
        <v>227</v>
      </c>
      <c r="C104" t="s">
        <v>120</v>
      </c>
      <c r="D104">
        <v>-5</v>
      </c>
      <c r="E104" s="4">
        <v>45357</v>
      </c>
      <c r="F104" s="15">
        <v>0.71976851851851853</v>
      </c>
      <c r="G104" s="15">
        <v>0.70833333333333337</v>
      </c>
      <c r="H104" t="s">
        <v>117</v>
      </c>
      <c r="I104" t="s">
        <v>111</v>
      </c>
      <c r="K104" s="21">
        <v>45357.719768518517</v>
      </c>
      <c r="L104">
        <f>SUMIF(C$2:C104, historico_movimientos[[#This Row],[id_producto]],D$2:D104)</f>
        <v>2</v>
      </c>
    </row>
  </sheetData>
  <phoneticPr fontId="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D90"/>
  <sheetViews>
    <sheetView workbookViewId="0">
      <selection activeCell="C20" sqref="C20"/>
    </sheetView>
  </sheetViews>
  <sheetFormatPr defaultRowHeight="15" x14ac:dyDescent="0.25"/>
  <cols>
    <col min="1" max="1" width="14" bestFit="1" customWidth="1"/>
    <col min="2" max="2" width="18.5703125" bestFit="1" customWidth="1"/>
    <col min="3" max="3" width="39.42578125" bestFit="1" customWidth="1"/>
    <col min="4" max="4" width="11.42578125" customWidth="1"/>
    <col min="5" max="5" width="12.5703125" bestFit="1" customWidth="1"/>
  </cols>
  <sheetData>
    <row r="1" spans="1:4" x14ac:dyDescent="0.25">
      <c r="A1" t="s">
        <v>332</v>
      </c>
      <c r="B1" t="s">
        <v>373</v>
      </c>
      <c r="C1" t="s">
        <v>334</v>
      </c>
      <c r="D1" t="s">
        <v>333</v>
      </c>
    </row>
    <row r="2" spans="1:4" x14ac:dyDescent="0.25">
      <c r="A2" t="s">
        <v>9</v>
      </c>
      <c r="B2" t="s">
        <v>372</v>
      </c>
      <c r="C2" t="s">
        <v>7</v>
      </c>
      <c r="D2">
        <v>21</v>
      </c>
    </row>
    <row r="3" spans="1:4" x14ac:dyDescent="0.25">
      <c r="A3" t="s">
        <v>11</v>
      </c>
      <c r="B3" t="s">
        <v>372</v>
      </c>
      <c r="C3" t="s">
        <v>10</v>
      </c>
      <c r="D3">
        <v>55</v>
      </c>
    </row>
    <row r="4" spans="1:4" x14ac:dyDescent="0.25">
      <c r="A4" t="s">
        <v>11</v>
      </c>
      <c r="B4" t="s">
        <v>372</v>
      </c>
      <c r="C4" t="s">
        <v>7</v>
      </c>
      <c r="D4">
        <v>-20</v>
      </c>
    </row>
    <row r="5" spans="1:4" x14ac:dyDescent="0.25">
      <c r="A5" t="s">
        <v>13</v>
      </c>
      <c r="B5" t="s">
        <v>372</v>
      </c>
      <c r="C5" t="s">
        <v>12</v>
      </c>
      <c r="D5">
        <v>51</v>
      </c>
    </row>
    <row r="6" spans="1:4" x14ac:dyDescent="0.25">
      <c r="A6" t="s">
        <v>15</v>
      </c>
      <c r="B6" t="s">
        <v>372</v>
      </c>
      <c r="C6" t="s">
        <v>14</v>
      </c>
      <c r="D6">
        <v>0</v>
      </c>
    </row>
    <row r="7" spans="1:4" x14ac:dyDescent="0.25">
      <c r="A7" t="s">
        <v>16</v>
      </c>
      <c r="B7" t="s">
        <v>372</v>
      </c>
      <c r="C7" t="s">
        <v>20</v>
      </c>
      <c r="D7">
        <v>32</v>
      </c>
    </row>
    <row r="8" spans="1:4" x14ac:dyDescent="0.25">
      <c r="A8" t="s">
        <v>17</v>
      </c>
      <c r="B8" t="s">
        <v>372</v>
      </c>
      <c r="C8" t="s">
        <v>21</v>
      </c>
      <c r="D8">
        <v>10</v>
      </c>
    </row>
    <row r="9" spans="1:4" x14ac:dyDescent="0.25">
      <c r="A9" t="s">
        <v>18</v>
      </c>
      <c r="B9" t="s">
        <v>372</v>
      </c>
      <c r="C9" t="s">
        <v>22</v>
      </c>
      <c r="D9">
        <v>-45</v>
      </c>
    </row>
    <row r="10" spans="1:4" x14ac:dyDescent="0.25">
      <c r="A10" t="s">
        <v>19</v>
      </c>
      <c r="B10" t="s">
        <v>372</v>
      </c>
      <c r="C10" t="s">
        <v>23</v>
      </c>
      <c r="D10">
        <v>21</v>
      </c>
    </row>
    <row r="11" spans="1:4" x14ac:dyDescent="0.25">
      <c r="A11" t="s">
        <v>27</v>
      </c>
      <c r="B11" t="s">
        <v>372</v>
      </c>
      <c r="C11" t="s">
        <v>28</v>
      </c>
      <c r="D11">
        <v>9</v>
      </c>
    </row>
    <row r="12" spans="1:4" x14ac:dyDescent="0.25">
      <c r="A12" t="s">
        <v>29</v>
      </c>
      <c r="B12" t="s">
        <v>372</v>
      </c>
      <c r="C12" t="s">
        <v>36</v>
      </c>
      <c r="D12">
        <v>0</v>
      </c>
    </row>
    <row r="13" spans="1:4" x14ac:dyDescent="0.25">
      <c r="A13" t="s">
        <v>30</v>
      </c>
      <c r="B13" t="s">
        <v>372</v>
      </c>
      <c r="C13" t="s">
        <v>37</v>
      </c>
      <c r="D13">
        <v>35</v>
      </c>
    </row>
    <row r="14" spans="1:4" x14ac:dyDescent="0.25">
      <c r="A14" t="s">
        <v>31</v>
      </c>
      <c r="B14" t="s">
        <v>372</v>
      </c>
      <c r="C14" t="s">
        <v>38</v>
      </c>
      <c r="D14">
        <v>4</v>
      </c>
    </row>
    <row r="15" spans="1:4" x14ac:dyDescent="0.25">
      <c r="A15" t="s">
        <v>32</v>
      </c>
      <c r="B15" t="s">
        <v>372</v>
      </c>
      <c r="C15" t="s">
        <v>39</v>
      </c>
      <c r="D15">
        <v>21</v>
      </c>
    </row>
    <row r="16" spans="1:4" x14ac:dyDescent="0.25">
      <c r="A16" t="s">
        <v>33</v>
      </c>
      <c r="B16" t="s">
        <v>372</v>
      </c>
      <c r="C16" t="s">
        <v>40</v>
      </c>
      <c r="D16">
        <v>14</v>
      </c>
    </row>
    <row r="17" spans="1:4" x14ac:dyDescent="0.25">
      <c r="A17" t="s">
        <v>34</v>
      </c>
      <c r="B17" t="s">
        <v>372</v>
      </c>
      <c r="C17" t="s">
        <v>41</v>
      </c>
      <c r="D17">
        <v>12</v>
      </c>
    </row>
    <row r="18" spans="1:4" x14ac:dyDescent="0.25">
      <c r="A18" t="s">
        <v>35</v>
      </c>
      <c r="B18" t="s">
        <v>372</v>
      </c>
      <c r="C18" t="s">
        <v>42</v>
      </c>
      <c r="D18">
        <v>0</v>
      </c>
    </row>
    <row r="19" spans="1:4" x14ac:dyDescent="0.25">
      <c r="A19" t="s">
        <v>44</v>
      </c>
      <c r="B19" t="s">
        <v>372</v>
      </c>
      <c r="C19" t="s">
        <v>52</v>
      </c>
      <c r="D19">
        <v>15</v>
      </c>
    </row>
    <row r="20" spans="1:4" x14ac:dyDescent="0.25">
      <c r="A20" t="s">
        <v>45</v>
      </c>
      <c r="B20" t="s">
        <v>372</v>
      </c>
      <c r="C20" t="s">
        <v>53</v>
      </c>
      <c r="D20">
        <v>8</v>
      </c>
    </row>
    <row r="21" spans="1:4" x14ac:dyDescent="0.25">
      <c r="A21" t="s">
        <v>46</v>
      </c>
      <c r="B21" t="s">
        <v>372</v>
      </c>
      <c r="C21" t="s">
        <v>54</v>
      </c>
      <c r="D21">
        <v>46</v>
      </c>
    </row>
    <row r="22" spans="1:4" x14ac:dyDescent="0.25">
      <c r="A22" t="s">
        <v>47</v>
      </c>
      <c r="B22" t="s">
        <v>372</v>
      </c>
      <c r="C22" t="s">
        <v>55</v>
      </c>
      <c r="D22">
        <v>15</v>
      </c>
    </row>
    <row r="23" spans="1:4" x14ac:dyDescent="0.25">
      <c r="A23" t="s">
        <v>48</v>
      </c>
      <c r="B23" t="s">
        <v>372</v>
      </c>
      <c r="C23" t="s">
        <v>56</v>
      </c>
      <c r="D23">
        <v>14</v>
      </c>
    </row>
    <row r="24" spans="1:4" x14ac:dyDescent="0.25">
      <c r="A24" t="s">
        <v>49</v>
      </c>
      <c r="B24" t="s">
        <v>372</v>
      </c>
      <c r="C24" t="s">
        <v>57</v>
      </c>
      <c r="D24">
        <v>15</v>
      </c>
    </row>
    <row r="25" spans="1:4" x14ac:dyDescent="0.25">
      <c r="A25" t="s">
        <v>50</v>
      </c>
      <c r="B25" t="s">
        <v>372</v>
      </c>
      <c r="C25" t="s">
        <v>58</v>
      </c>
      <c r="D25">
        <v>13</v>
      </c>
    </row>
    <row r="26" spans="1:4" x14ac:dyDescent="0.25">
      <c r="A26" t="s">
        <v>61</v>
      </c>
      <c r="B26" t="s">
        <v>372</v>
      </c>
      <c r="C26" t="s">
        <v>68</v>
      </c>
      <c r="D26">
        <v>126</v>
      </c>
    </row>
    <row r="27" spans="1:4" x14ac:dyDescent="0.25">
      <c r="A27" t="s">
        <v>62</v>
      </c>
      <c r="B27" t="s">
        <v>372</v>
      </c>
      <c r="C27" t="s">
        <v>69</v>
      </c>
      <c r="D27">
        <v>26</v>
      </c>
    </row>
    <row r="28" spans="1:4" x14ac:dyDescent="0.25">
      <c r="A28" t="s">
        <v>63</v>
      </c>
      <c r="B28" t="s">
        <v>372</v>
      </c>
      <c r="C28" t="s">
        <v>70</v>
      </c>
      <c r="D28">
        <v>32</v>
      </c>
    </row>
    <row r="29" spans="1:4" x14ac:dyDescent="0.25">
      <c r="A29" t="s">
        <v>64</v>
      </c>
      <c r="B29" t="s">
        <v>372</v>
      </c>
      <c r="C29" t="s">
        <v>71</v>
      </c>
      <c r="D29">
        <v>30</v>
      </c>
    </row>
    <row r="30" spans="1:4" x14ac:dyDescent="0.25">
      <c r="A30" t="s">
        <v>65</v>
      </c>
      <c r="B30" t="s">
        <v>372</v>
      </c>
      <c r="C30" t="s">
        <v>75</v>
      </c>
      <c r="D30">
        <v>28</v>
      </c>
    </row>
    <row r="31" spans="1:4" x14ac:dyDescent="0.25">
      <c r="A31" t="s">
        <v>66</v>
      </c>
      <c r="B31" t="s">
        <v>372</v>
      </c>
      <c r="C31" t="s">
        <v>74</v>
      </c>
      <c r="D31">
        <v>19</v>
      </c>
    </row>
    <row r="32" spans="1:4" x14ac:dyDescent="0.25">
      <c r="A32" t="s">
        <v>67</v>
      </c>
      <c r="B32" t="s">
        <v>372</v>
      </c>
      <c r="C32" t="s">
        <v>78</v>
      </c>
      <c r="D32">
        <v>4</v>
      </c>
    </row>
    <row r="33" spans="1:4" x14ac:dyDescent="0.25">
      <c r="A33" t="s">
        <v>80</v>
      </c>
      <c r="B33" t="s">
        <v>372</v>
      </c>
      <c r="C33" t="s">
        <v>87</v>
      </c>
      <c r="D33">
        <v>127</v>
      </c>
    </row>
    <row r="34" spans="1:4" x14ac:dyDescent="0.25">
      <c r="A34" t="s">
        <v>81</v>
      </c>
      <c r="B34" t="s">
        <v>372</v>
      </c>
      <c r="C34" t="s">
        <v>88</v>
      </c>
      <c r="D34">
        <v>16</v>
      </c>
    </row>
    <row r="35" spans="1:4" x14ac:dyDescent="0.25">
      <c r="A35" t="s">
        <v>82</v>
      </c>
      <c r="B35" t="s">
        <v>372</v>
      </c>
      <c r="C35" t="s">
        <v>89</v>
      </c>
      <c r="D35">
        <v>39</v>
      </c>
    </row>
    <row r="36" spans="1:4" x14ac:dyDescent="0.25">
      <c r="A36" t="s">
        <v>83</v>
      </c>
      <c r="B36" t="s">
        <v>372</v>
      </c>
      <c r="C36" t="s">
        <v>90</v>
      </c>
      <c r="D36">
        <v>16</v>
      </c>
    </row>
    <row r="37" spans="1:4" x14ac:dyDescent="0.25">
      <c r="A37" t="s">
        <v>84</v>
      </c>
      <c r="B37" t="s">
        <v>372</v>
      </c>
      <c r="C37" t="s">
        <v>91</v>
      </c>
      <c r="D37">
        <v>39</v>
      </c>
    </row>
    <row r="38" spans="1:4" x14ac:dyDescent="0.25">
      <c r="A38" t="s">
        <v>85</v>
      </c>
      <c r="B38" t="s">
        <v>372</v>
      </c>
      <c r="C38" t="s">
        <v>92</v>
      </c>
      <c r="D38">
        <v>16</v>
      </c>
    </row>
    <row r="39" spans="1:4" x14ac:dyDescent="0.25">
      <c r="A39" t="s">
        <v>86</v>
      </c>
      <c r="B39" t="s">
        <v>372</v>
      </c>
      <c r="C39" t="s">
        <v>93</v>
      </c>
      <c r="D39">
        <v>37</v>
      </c>
    </row>
    <row r="40" spans="1:4" x14ac:dyDescent="0.25">
      <c r="A40" t="s">
        <v>96</v>
      </c>
      <c r="B40" t="s">
        <v>372</v>
      </c>
      <c r="C40" t="s">
        <v>73</v>
      </c>
      <c r="D40">
        <v>39</v>
      </c>
    </row>
    <row r="41" spans="1:4" x14ac:dyDescent="0.25">
      <c r="A41" t="s">
        <v>97</v>
      </c>
      <c r="B41" t="s">
        <v>372</v>
      </c>
      <c r="C41" t="s">
        <v>76</v>
      </c>
      <c r="D41">
        <v>17</v>
      </c>
    </row>
    <row r="42" spans="1:4" x14ac:dyDescent="0.25">
      <c r="A42" t="s">
        <v>98</v>
      </c>
      <c r="B42" t="s">
        <v>372</v>
      </c>
      <c r="C42" t="s">
        <v>77</v>
      </c>
      <c r="D42">
        <v>23</v>
      </c>
    </row>
    <row r="43" spans="1:4" x14ac:dyDescent="0.25">
      <c r="A43" t="s">
        <v>101</v>
      </c>
      <c r="B43" t="s">
        <v>372</v>
      </c>
      <c r="C43" t="s">
        <v>102</v>
      </c>
      <c r="D43">
        <v>24</v>
      </c>
    </row>
    <row r="44" spans="1:4" x14ac:dyDescent="0.25">
      <c r="A44" t="s">
        <v>107</v>
      </c>
      <c r="B44" t="s">
        <v>372</v>
      </c>
      <c r="C44" t="s">
        <v>103</v>
      </c>
      <c r="D44">
        <v>67</v>
      </c>
    </row>
    <row r="45" spans="1:4" x14ac:dyDescent="0.25">
      <c r="A45" t="s">
        <v>108</v>
      </c>
      <c r="B45" t="s">
        <v>372</v>
      </c>
      <c r="C45" t="s">
        <v>104</v>
      </c>
      <c r="D45">
        <v>73</v>
      </c>
    </row>
    <row r="46" spans="1:4" x14ac:dyDescent="0.25">
      <c r="A46" t="s">
        <v>109</v>
      </c>
      <c r="B46" t="s">
        <v>372</v>
      </c>
      <c r="C46" t="s">
        <v>105</v>
      </c>
      <c r="D46">
        <v>36</v>
      </c>
    </row>
    <row r="47" spans="1:4" x14ac:dyDescent="0.25">
      <c r="A47" t="s">
        <v>110</v>
      </c>
      <c r="B47" t="s">
        <v>372</v>
      </c>
      <c r="C47" t="s">
        <v>106</v>
      </c>
      <c r="D47">
        <v>20</v>
      </c>
    </row>
    <row r="48" spans="1:4" x14ac:dyDescent="0.25">
      <c r="A48" t="s">
        <v>114</v>
      </c>
      <c r="B48" t="s">
        <v>111</v>
      </c>
      <c r="C48" t="s">
        <v>115</v>
      </c>
      <c r="D48">
        <v>27</v>
      </c>
    </row>
    <row r="49" spans="1:4" x14ac:dyDescent="0.25">
      <c r="A49" t="s">
        <v>119</v>
      </c>
      <c r="B49" t="s">
        <v>111</v>
      </c>
      <c r="C49" t="s">
        <v>116</v>
      </c>
      <c r="D49">
        <v>9</v>
      </c>
    </row>
    <row r="50" spans="1:4" x14ac:dyDescent="0.25">
      <c r="A50" t="s">
        <v>120</v>
      </c>
      <c r="B50" t="s">
        <v>111</v>
      </c>
      <c r="C50" t="s">
        <v>117</v>
      </c>
      <c r="D50">
        <v>2</v>
      </c>
    </row>
    <row r="51" spans="1:4" x14ac:dyDescent="0.25">
      <c r="A51" t="s">
        <v>121</v>
      </c>
      <c r="B51" t="s">
        <v>111</v>
      </c>
      <c r="C51" t="s">
        <v>118</v>
      </c>
      <c r="D51">
        <v>2</v>
      </c>
    </row>
    <row r="52" spans="1:4" x14ac:dyDescent="0.25">
      <c r="A52" t="s">
        <v>124</v>
      </c>
      <c r="B52" t="s">
        <v>215</v>
      </c>
      <c r="C52" t="s">
        <v>122</v>
      </c>
      <c r="D52">
        <v>39</v>
      </c>
    </row>
    <row r="53" spans="1:4" x14ac:dyDescent="0.25">
      <c r="A53" t="s">
        <v>134</v>
      </c>
      <c r="B53" t="s">
        <v>127</v>
      </c>
      <c r="C53" t="s">
        <v>128</v>
      </c>
      <c r="D53">
        <v>-59</v>
      </c>
    </row>
    <row r="54" spans="1:4" x14ac:dyDescent="0.25">
      <c r="A54" t="s">
        <v>135</v>
      </c>
      <c r="B54" t="s">
        <v>127</v>
      </c>
      <c r="C54" t="s">
        <v>129</v>
      </c>
      <c r="D54">
        <v>5</v>
      </c>
    </row>
    <row r="55" spans="1:4" x14ac:dyDescent="0.25">
      <c r="A55" t="s">
        <v>136</v>
      </c>
      <c r="B55" t="s">
        <v>127</v>
      </c>
      <c r="C55" t="s">
        <v>130</v>
      </c>
      <c r="D55">
        <v>30</v>
      </c>
    </row>
    <row r="56" spans="1:4" x14ac:dyDescent="0.25">
      <c r="A56" t="s">
        <v>137</v>
      </c>
      <c r="B56" t="s">
        <v>127</v>
      </c>
      <c r="C56" t="s">
        <v>131</v>
      </c>
      <c r="D56">
        <v>9</v>
      </c>
    </row>
    <row r="57" spans="1:4" x14ac:dyDescent="0.25">
      <c r="A57" t="s">
        <v>138</v>
      </c>
      <c r="B57" t="s">
        <v>132</v>
      </c>
      <c r="C57" t="s">
        <v>142</v>
      </c>
      <c r="D57">
        <v>4</v>
      </c>
    </row>
    <row r="58" spans="1:4" x14ac:dyDescent="0.25">
      <c r="A58" t="s">
        <v>139</v>
      </c>
      <c r="B58" t="s">
        <v>132</v>
      </c>
      <c r="C58" t="s">
        <v>143</v>
      </c>
      <c r="D58">
        <v>5</v>
      </c>
    </row>
    <row r="59" spans="1:4" x14ac:dyDescent="0.25">
      <c r="A59" t="s">
        <v>140</v>
      </c>
      <c r="B59" t="s">
        <v>132</v>
      </c>
      <c r="C59" t="s">
        <v>144</v>
      </c>
      <c r="D59">
        <v>13</v>
      </c>
    </row>
    <row r="60" spans="1:4" x14ac:dyDescent="0.25">
      <c r="A60" t="s">
        <v>141</v>
      </c>
      <c r="B60" t="s">
        <v>132</v>
      </c>
      <c r="C60" t="s">
        <v>145</v>
      </c>
      <c r="D60">
        <v>2</v>
      </c>
    </row>
    <row r="61" spans="1:4" x14ac:dyDescent="0.25">
      <c r="A61" t="s">
        <v>147</v>
      </c>
      <c r="B61" t="s">
        <v>132</v>
      </c>
      <c r="C61" t="s">
        <v>146</v>
      </c>
      <c r="D61">
        <v>0</v>
      </c>
    </row>
    <row r="62" spans="1:4" x14ac:dyDescent="0.25">
      <c r="A62" t="s">
        <v>151</v>
      </c>
      <c r="B62" t="s">
        <v>148</v>
      </c>
      <c r="C62" t="s">
        <v>150</v>
      </c>
      <c r="D62">
        <v>53</v>
      </c>
    </row>
    <row r="63" spans="1:4" x14ac:dyDescent="0.25">
      <c r="A63" t="s">
        <v>156</v>
      </c>
      <c r="B63" t="s">
        <v>148</v>
      </c>
      <c r="C63" t="s">
        <v>152</v>
      </c>
      <c r="D63">
        <v>4</v>
      </c>
    </row>
    <row r="64" spans="1:4" x14ac:dyDescent="0.25">
      <c r="A64" t="s">
        <v>157</v>
      </c>
      <c r="B64" t="s">
        <v>148</v>
      </c>
      <c r="C64" t="s">
        <v>153</v>
      </c>
      <c r="D64">
        <v>49</v>
      </c>
    </row>
    <row r="65" spans="1:4" x14ac:dyDescent="0.25">
      <c r="A65" t="s">
        <v>158</v>
      </c>
      <c r="B65" t="s">
        <v>148</v>
      </c>
      <c r="C65" t="s">
        <v>154</v>
      </c>
      <c r="D65">
        <v>3</v>
      </c>
    </row>
    <row r="66" spans="1:4" x14ac:dyDescent="0.25">
      <c r="A66" t="s">
        <v>159</v>
      </c>
      <c r="B66" t="s">
        <v>148</v>
      </c>
      <c r="C66" t="s">
        <v>155</v>
      </c>
      <c r="D66">
        <v>36</v>
      </c>
    </row>
    <row r="67" spans="1:4" x14ac:dyDescent="0.25">
      <c r="A67" t="s">
        <v>164</v>
      </c>
      <c r="B67" t="s">
        <v>132</v>
      </c>
      <c r="C67" t="s">
        <v>165</v>
      </c>
      <c r="D67">
        <v>62</v>
      </c>
    </row>
    <row r="68" spans="1:4" x14ac:dyDescent="0.25">
      <c r="A68" t="s">
        <v>173</v>
      </c>
      <c r="B68" t="s">
        <v>132</v>
      </c>
      <c r="C68" t="s">
        <v>166</v>
      </c>
      <c r="D68">
        <v>0</v>
      </c>
    </row>
    <row r="69" spans="1:4" x14ac:dyDescent="0.25">
      <c r="A69" t="s">
        <v>174</v>
      </c>
      <c r="B69" t="s">
        <v>132</v>
      </c>
      <c r="C69" t="s">
        <v>167</v>
      </c>
      <c r="D69">
        <v>0</v>
      </c>
    </row>
    <row r="70" spans="1:4" x14ac:dyDescent="0.25">
      <c r="A70" t="s">
        <v>175</v>
      </c>
      <c r="B70" t="s">
        <v>132</v>
      </c>
      <c r="C70" t="s">
        <v>168</v>
      </c>
      <c r="D70">
        <v>0</v>
      </c>
    </row>
    <row r="71" spans="1:4" x14ac:dyDescent="0.25">
      <c r="A71" t="s">
        <v>176</v>
      </c>
      <c r="B71" t="s">
        <v>132</v>
      </c>
      <c r="C71" t="s">
        <v>169</v>
      </c>
      <c r="D71">
        <v>61</v>
      </c>
    </row>
    <row r="72" spans="1:4" x14ac:dyDescent="0.25">
      <c r="A72" t="s">
        <v>177</v>
      </c>
      <c r="B72" t="s">
        <v>132</v>
      </c>
      <c r="C72" t="s">
        <v>170</v>
      </c>
      <c r="D72">
        <v>0</v>
      </c>
    </row>
    <row r="73" spans="1:4" x14ac:dyDescent="0.25">
      <c r="A73" t="s">
        <v>178</v>
      </c>
      <c r="B73" t="s">
        <v>132</v>
      </c>
      <c r="C73" t="s">
        <v>171</v>
      </c>
      <c r="D73">
        <v>23</v>
      </c>
    </row>
    <row r="74" spans="1:4" x14ac:dyDescent="0.25">
      <c r="A74" t="s">
        <v>179</v>
      </c>
      <c r="B74" t="s">
        <v>132</v>
      </c>
      <c r="C74" t="s">
        <v>172</v>
      </c>
      <c r="D74">
        <v>32</v>
      </c>
    </row>
    <row r="75" spans="1:4" x14ac:dyDescent="0.25">
      <c r="A75" t="s">
        <v>184</v>
      </c>
      <c r="B75" t="s">
        <v>183</v>
      </c>
      <c r="C75" t="s">
        <v>180</v>
      </c>
      <c r="D75">
        <v>28</v>
      </c>
    </row>
    <row r="76" spans="1:4" x14ac:dyDescent="0.25">
      <c r="A76" t="s">
        <v>220</v>
      </c>
      <c r="B76" t="s">
        <v>183</v>
      </c>
      <c r="C76" t="s">
        <v>185</v>
      </c>
      <c r="D76">
        <v>0</v>
      </c>
    </row>
    <row r="77" spans="1:4" x14ac:dyDescent="0.25">
      <c r="A77" t="s">
        <v>221</v>
      </c>
      <c r="B77" t="s">
        <v>183</v>
      </c>
      <c r="C77" t="s">
        <v>186</v>
      </c>
      <c r="D77">
        <v>13</v>
      </c>
    </row>
    <row r="78" spans="1:4" x14ac:dyDescent="0.25">
      <c r="A78" t="s">
        <v>222</v>
      </c>
      <c r="B78" t="s">
        <v>183</v>
      </c>
      <c r="C78" t="s">
        <v>187</v>
      </c>
      <c r="D78">
        <v>39</v>
      </c>
    </row>
    <row r="79" spans="1:4" x14ac:dyDescent="0.25">
      <c r="A79" t="s">
        <v>190</v>
      </c>
      <c r="B79" t="s">
        <v>216</v>
      </c>
      <c r="C79" t="s">
        <v>191</v>
      </c>
      <c r="D79">
        <v>69</v>
      </c>
    </row>
    <row r="80" spans="1:4" x14ac:dyDescent="0.25">
      <c r="A80" t="s">
        <v>203</v>
      </c>
      <c r="B80" t="s">
        <v>216</v>
      </c>
      <c r="C80" t="s">
        <v>192</v>
      </c>
      <c r="D80">
        <v>67</v>
      </c>
    </row>
    <row r="81" spans="1:4" x14ac:dyDescent="0.25">
      <c r="A81" t="s">
        <v>204</v>
      </c>
      <c r="B81" t="s">
        <v>216</v>
      </c>
      <c r="C81" t="s">
        <v>193</v>
      </c>
      <c r="D81">
        <v>4</v>
      </c>
    </row>
    <row r="82" spans="1:4" x14ac:dyDescent="0.25">
      <c r="A82" t="s">
        <v>205</v>
      </c>
      <c r="B82" t="s">
        <v>216</v>
      </c>
      <c r="C82" t="s">
        <v>194</v>
      </c>
      <c r="D82">
        <v>10</v>
      </c>
    </row>
    <row r="83" spans="1:4" x14ac:dyDescent="0.25">
      <c r="A83" t="s">
        <v>206</v>
      </c>
      <c r="B83" t="s">
        <v>216</v>
      </c>
      <c r="C83" t="s">
        <v>195</v>
      </c>
      <c r="D83">
        <v>15</v>
      </c>
    </row>
    <row r="84" spans="1:4" x14ac:dyDescent="0.25">
      <c r="A84" t="s">
        <v>207</v>
      </c>
      <c r="B84" t="s">
        <v>216</v>
      </c>
      <c r="C84" t="s">
        <v>196</v>
      </c>
      <c r="D84">
        <v>5</v>
      </c>
    </row>
    <row r="85" spans="1:4" x14ac:dyDescent="0.25">
      <c r="A85" t="s">
        <v>208</v>
      </c>
      <c r="B85" t="s">
        <v>216</v>
      </c>
      <c r="C85" t="s">
        <v>197</v>
      </c>
      <c r="D85">
        <v>4</v>
      </c>
    </row>
    <row r="86" spans="1:4" x14ac:dyDescent="0.25">
      <c r="A86" t="s">
        <v>209</v>
      </c>
      <c r="B86" t="s">
        <v>216</v>
      </c>
      <c r="C86" t="s">
        <v>198</v>
      </c>
      <c r="D86">
        <v>0</v>
      </c>
    </row>
    <row r="87" spans="1:4" x14ac:dyDescent="0.25">
      <c r="A87" t="s">
        <v>210</v>
      </c>
      <c r="B87" t="s">
        <v>216</v>
      </c>
      <c r="C87" t="s">
        <v>199</v>
      </c>
      <c r="D87">
        <v>-10</v>
      </c>
    </row>
    <row r="88" spans="1:4" x14ac:dyDescent="0.25">
      <c r="A88" t="s">
        <v>211</v>
      </c>
      <c r="B88" t="s">
        <v>216</v>
      </c>
      <c r="C88" t="s">
        <v>200</v>
      </c>
      <c r="D88">
        <v>0</v>
      </c>
    </row>
    <row r="89" spans="1:4" x14ac:dyDescent="0.25">
      <c r="A89" t="s">
        <v>212</v>
      </c>
      <c r="B89" t="s">
        <v>216</v>
      </c>
      <c r="C89" t="s">
        <v>201</v>
      </c>
      <c r="D89">
        <v>0</v>
      </c>
    </row>
    <row r="90" spans="1:4" x14ac:dyDescent="0.25">
      <c r="A90" t="s">
        <v>213</v>
      </c>
      <c r="B90" t="s">
        <v>216</v>
      </c>
      <c r="C90" t="s">
        <v>202</v>
      </c>
      <c r="D90">
        <v>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A3F4B-F5FC-47E0-AC6F-9E6ED3176C23}">
  <sheetPr codeName="Sheet7"/>
  <dimension ref="B1:AI91"/>
  <sheetViews>
    <sheetView workbookViewId="0">
      <pane xSplit="3" topLeftCell="F1" activePane="topRight" state="frozen"/>
      <selection pane="topRight" activeCell="B22" sqref="B22"/>
    </sheetView>
  </sheetViews>
  <sheetFormatPr defaultRowHeight="15" x14ac:dyDescent="0.25"/>
  <cols>
    <col min="2" max="2" width="23.28515625" customWidth="1"/>
    <col min="3" max="4" width="10.140625" style="1" customWidth="1"/>
    <col min="5" max="5" width="18.5703125" style="1" bestFit="1" customWidth="1"/>
    <col min="6" max="6" width="4.42578125" style="1" customWidth="1"/>
    <col min="7" max="7" width="6" style="1" bestFit="1" customWidth="1"/>
    <col min="8" max="8" width="39.42578125" style="1" bestFit="1" customWidth="1"/>
    <col min="9" max="10" width="39.42578125" style="1" customWidth="1"/>
    <col min="11" max="11" width="12.7109375" bestFit="1" customWidth="1"/>
    <col min="12" max="12" width="13.28515625" customWidth="1"/>
    <col min="13" max="13" width="9.140625" style="1"/>
    <col min="14" max="14" width="39.42578125" bestFit="1" customWidth="1"/>
    <col min="15" max="15" width="2.85546875" customWidth="1"/>
    <col min="16" max="16" width="9.140625" style="1"/>
    <col min="17" max="17" width="25.140625" bestFit="1" customWidth="1"/>
    <col min="18" max="18" width="2.85546875" customWidth="1"/>
    <col min="19" max="19" width="9.140625" style="1"/>
    <col min="20" max="20" width="16.140625" bestFit="1" customWidth="1"/>
    <col min="21" max="21" width="2.85546875" customWidth="1"/>
    <col min="22" max="22" width="9.140625" style="1"/>
    <col min="23" max="23" width="26.7109375" bestFit="1" customWidth="1"/>
    <col min="24" max="24" width="2.85546875" customWidth="1"/>
    <col min="25" max="25" width="9.140625" style="1"/>
    <col min="26" max="26" width="26.7109375" bestFit="1" customWidth="1"/>
    <col min="27" max="27" width="2.85546875" customWidth="1"/>
    <col min="28" max="28" width="9.140625" style="1"/>
    <col min="29" max="29" width="26.7109375" bestFit="1" customWidth="1"/>
    <col min="30" max="30" width="2.85546875" customWidth="1"/>
    <col min="31" max="31" width="9.140625" style="1"/>
    <col min="32" max="32" width="26.7109375" bestFit="1" customWidth="1"/>
    <col min="33" max="33" width="3.140625" customWidth="1"/>
    <col min="34" max="34" width="9.140625" style="1"/>
    <col min="35" max="35" width="32" bestFit="1" customWidth="1"/>
  </cols>
  <sheetData>
    <row r="1" spans="2:35" x14ac:dyDescent="0.25">
      <c r="G1" s="1" t="s">
        <v>214</v>
      </c>
      <c r="M1" s="150" t="s">
        <v>6</v>
      </c>
      <c r="N1" s="150"/>
      <c r="P1" s="150" t="s">
        <v>111</v>
      </c>
      <c r="Q1" s="150"/>
      <c r="S1" s="150" t="s">
        <v>215</v>
      </c>
      <c r="T1" s="150"/>
      <c r="V1" s="150" t="s">
        <v>127</v>
      </c>
      <c r="W1" s="150"/>
      <c r="Y1" s="150" t="s">
        <v>132</v>
      </c>
      <c r="Z1" s="150"/>
      <c r="AB1" s="150" t="s">
        <v>148</v>
      </c>
      <c r="AC1" s="150"/>
      <c r="AE1" s="150" t="s">
        <v>183</v>
      </c>
      <c r="AF1" s="150"/>
      <c r="AH1" s="150" t="s">
        <v>216</v>
      </c>
      <c r="AI1" s="150"/>
    </row>
    <row r="2" spans="2:35" x14ac:dyDescent="0.25">
      <c r="B2" t="s">
        <v>4</v>
      </c>
      <c r="C2" s="1" t="s">
        <v>5</v>
      </c>
      <c r="E2" s="22">
        <v>45218</v>
      </c>
      <c r="G2" s="1" t="s">
        <v>0</v>
      </c>
      <c r="H2" s="1" t="s">
        <v>1</v>
      </c>
      <c r="I2" s="1" t="s">
        <v>373</v>
      </c>
      <c r="J2" s="1" t="s">
        <v>378</v>
      </c>
      <c r="K2" s="1" t="s">
        <v>571</v>
      </c>
      <c r="M2" s="1" t="s">
        <v>0</v>
      </c>
      <c r="N2" t="s">
        <v>1</v>
      </c>
      <c r="P2" s="1" t="s">
        <v>0</v>
      </c>
      <c r="Q2" t="s">
        <v>1</v>
      </c>
      <c r="S2" s="1" t="s">
        <v>0</v>
      </c>
      <c r="T2" t="s">
        <v>1</v>
      </c>
      <c r="V2" s="1" t="s">
        <v>0</v>
      </c>
      <c r="W2" t="s">
        <v>1</v>
      </c>
      <c r="Y2" s="1" t="s">
        <v>0</v>
      </c>
      <c r="Z2" t="s">
        <v>1</v>
      </c>
      <c r="AB2" s="1" t="s">
        <v>0</v>
      </c>
      <c r="AC2" t="s">
        <v>1</v>
      </c>
      <c r="AE2" s="1" t="s">
        <v>0</v>
      </c>
      <c r="AF2" t="s">
        <v>1</v>
      </c>
      <c r="AH2" s="1" t="s">
        <v>0</v>
      </c>
      <c r="AI2" t="s">
        <v>1</v>
      </c>
    </row>
    <row r="3" spans="2:35" x14ac:dyDescent="0.25">
      <c r="B3" t="s">
        <v>24</v>
      </c>
      <c r="C3" s="1" t="s">
        <v>8</v>
      </c>
      <c r="G3" t="s">
        <v>9</v>
      </c>
      <c r="H3" t="s">
        <v>454</v>
      </c>
      <c r="I3" t="s">
        <v>372</v>
      </c>
      <c r="J3">
        <v>284.51</v>
      </c>
      <c r="K3" s="75">
        <v>0</v>
      </c>
      <c r="M3" s="1" t="s">
        <v>9</v>
      </c>
      <c r="N3" t="s">
        <v>454</v>
      </c>
      <c r="P3" s="1" t="s">
        <v>114</v>
      </c>
      <c r="Q3" t="s">
        <v>500</v>
      </c>
      <c r="S3" s="1" t="s">
        <v>124</v>
      </c>
      <c r="T3" t="s">
        <v>504</v>
      </c>
      <c r="V3" s="1" t="s">
        <v>134</v>
      </c>
      <c r="W3" t="s">
        <v>505</v>
      </c>
      <c r="Y3" s="1" t="s">
        <v>138</v>
      </c>
      <c r="Z3" t="s">
        <v>509</v>
      </c>
      <c r="AB3" s="1" t="s">
        <v>151</v>
      </c>
      <c r="AC3" t="s">
        <v>522</v>
      </c>
      <c r="AE3" s="1" t="s">
        <v>184</v>
      </c>
      <c r="AF3" t="s">
        <v>527</v>
      </c>
      <c r="AH3" s="1" t="s">
        <v>190</v>
      </c>
      <c r="AI3" t="s">
        <v>531</v>
      </c>
    </row>
    <row r="4" spans="2:35" x14ac:dyDescent="0.25">
      <c r="B4" t="s">
        <v>25</v>
      </c>
      <c r="C4" s="1" t="s">
        <v>26</v>
      </c>
      <c r="E4" s="1" t="s">
        <v>229</v>
      </c>
      <c r="G4" t="s">
        <v>11</v>
      </c>
      <c r="H4" t="s">
        <v>455</v>
      </c>
      <c r="I4" t="s">
        <v>372</v>
      </c>
      <c r="J4">
        <v>1019.05</v>
      </c>
      <c r="K4" s="75">
        <v>0</v>
      </c>
      <c r="M4" s="1" t="s">
        <v>11</v>
      </c>
      <c r="N4" t="s">
        <v>455</v>
      </c>
      <c r="P4" s="1" t="s">
        <v>119</v>
      </c>
      <c r="Q4" t="s">
        <v>501</v>
      </c>
      <c r="V4" s="1" t="s">
        <v>135</v>
      </c>
      <c r="W4" t="s">
        <v>506</v>
      </c>
      <c r="Y4" s="1" t="s">
        <v>139</v>
      </c>
      <c r="Z4" t="s">
        <v>510</v>
      </c>
      <c r="AB4" s="1" t="s">
        <v>156</v>
      </c>
      <c r="AC4" t="s">
        <v>523</v>
      </c>
      <c r="AE4" s="1" t="s">
        <v>220</v>
      </c>
      <c r="AF4" t="s">
        <v>528</v>
      </c>
      <c r="AH4" s="1" t="s">
        <v>203</v>
      </c>
      <c r="AI4" t="s">
        <v>532</v>
      </c>
    </row>
    <row r="5" spans="2:35" x14ac:dyDescent="0.25">
      <c r="B5" t="s">
        <v>160</v>
      </c>
      <c r="C5" s="1" t="s">
        <v>43</v>
      </c>
      <c r="E5" s="5">
        <v>0.25</v>
      </c>
      <c r="G5" t="s">
        <v>13</v>
      </c>
      <c r="H5" t="s">
        <v>456</v>
      </c>
      <c r="I5" t="s">
        <v>372</v>
      </c>
      <c r="J5">
        <v>573.61</v>
      </c>
      <c r="K5" s="75">
        <v>0</v>
      </c>
      <c r="M5" s="1" t="s">
        <v>13</v>
      </c>
      <c r="N5" t="s">
        <v>456</v>
      </c>
      <c r="P5" s="1" t="s">
        <v>120</v>
      </c>
      <c r="Q5" t="s">
        <v>502</v>
      </c>
      <c r="V5" s="1" t="s">
        <v>136</v>
      </c>
      <c r="W5" t="s">
        <v>507</v>
      </c>
      <c r="Y5" s="1" t="s">
        <v>140</v>
      </c>
      <c r="Z5" t="s">
        <v>511</v>
      </c>
      <c r="AB5" s="1" t="s">
        <v>157</v>
      </c>
      <c r="AC5" t="s">
        <v>524</v>
      </c>
      <c r="AE5" s="1" t="s">
        <v>221</v>
      </c>
      <c r="AF5" t="s">
        <v>529</v>
      </c>
      <c r="AH5" s="1" t="s">
        <v>204</v>
      </c>
      <c r="AI5" t="s">
        <v>533</v>
      </c>
    </row>
    <row r="6" spans="2:35" x14ac:dyDescent="0.25">
      <c r="B6" t="s">
        <v>59</v>
      </c>
      <c r="C6" s="1" t="s">
        <v>60</v>
      </c>
      <c r="E6" s="5">
        <v>0.29166666666666702</v>
      </c>
      <c r="G6" t="s">
        <v>15</v>
      </c>
      <c r="H6" t="s">
        <v>457</v>
      </c>
      <c r="I6" t="s">
        <v>372</v>
      </c>
      <c r="J6">
        <v>266.06</v>
      </c>
      <c r="K6" s="75">
        <v>0</v>
      </c>
      <c r="M6" s="1" t="s">
        <v>15</v>
      </c>
      <c r="N6" t="s">
        <v>457</v>
      </c>
      <c r="P6" s="1" t="s">
        <v>121</v>
      </c>
      <c r="Q6" t="s">
        <v>503</v>
      </c>
      <c r="V6" s="1" t="s">
        <v>137</v>
      </c>
      <c r="W6" t="s">
        <v>508</v>
      </c>
      <c r="Y6" s="1" t="s">
        <v>141</v>
      </c>
      <c r="Z6" t="s">
        <v>512</v>
      </c>
      <c r="AB6" s="1" t="s">
        <v>158</v>
      </c>
      <c r="AC6" t="s">
        <v>525</v>
      </c>
      <c r="AE6" s="1" t="s">
        <v>222</v>
      </c>
      <c r="AF6" t="s">
        <v>530</v>
      </c>
      <c r="AH6" s="1" t="s">
        <v>205</v>
      </c>
      <c r="AI6" t="s">
        <v>534</v>
      </c>
    </row>
    <row r="7" spans="2:35" x14ac:dyDescent="0.25">
      <c r="B7" t="s">
        <v>72</v>
      </c>
      <c r="C7" s="1" t="s">
        <v>79</v>
      </c>
      <c r="E7" s="5">
        <v>0.33333333333333298</v>
      </c>
      <c r="G7" t="s">
        <v>16</v>
      </c>
      <c r="H7" t="s">
        <v>458</v>
      </c>
      <c r="I7" t="s">
        <v>372</v>
      </c>
      <c r="J7">
        <v>1047.3900000000001</v>
      </c>
      <c r="K7" s="75">
        <v>0</v>
      </c>
      <c r="M7" s="1" t="s">
        <v>16</v>
      </c>
      <c r="N7" t="s">
        <v>458</v>
      </c>
      <c r="Y7" s="1" t="s">
        <v>147</v>
      </c>
      <c r="Z7" t="s">
        <v>513</v>
      </c>
      <c r="AB7" s="1" t="s">
        <v>159</v>
      </c>
      <c r="AC7" t="s">
        <v>526</v>
      </c>
      <c r="AH7" s="1" t="s">
        <v>206</v>
      </c>
      <c r="AI7" t="s">
        <v>535</v>
      </c>
    </row>
    <row r="8" spans="2:35" x14ac:dyDescent="0.25">
      <c r="B8" t="s">
        <v>94</v>
      </c>
      <c r="C8" s="1" t="s">
        <v>95</v>
      </c>
      <c r="E8" s="5">
        <v>0.375</v>
      </c>
      <c r="G8" t="s">
        <v>17</v>
      </c>
      <c r="H8" t="s">
        <v>459</v>
      </c>
      <c r="I8" t="s">
        <v>372</v>
      </c>
      <c r="J8">
        <v>684.45</v>
      </c>
      <c r="K8" s="75">
        <v>0</v>
      </c>
      <c r="M8" s="1" t="s">
        <v>17</v>
      </c>
      <c r="N8" t="s">
        <v>459</v>
      </c>
      <c r="Y8" s="1" t="s">
        <v>164</v>
      </c>
      <c r="Z8" t="s">
        <v>514</v>
      </c>
      <c r="AH8" s="1" t="s">
        <v>207</v>
      </c>
      <c r="AI8" t="s">
        <v>536</v>
      </c>
    </row>
    <row r="9" spans="2:35" x14ac:dyDescent="0.25">
      <c r="B9" t="s">
        <v>99</v>
      </c>
      <c r="C9" s="1" t="s">
        <v>100</v>
      </c>
      <c r="E9" s="5">
        <v>0.41666666666666702</v>
      </c>
      <c r="G9" t="s">
        <v>18</v>
      </c>
      <c r="H9" t="s">
        <v>460</v>
      </c>
      <c r="I9" t="s">
        <v>372</v>
      </c>
      <c r="J9">
        <v>84.13</v>
      </c>
      <c r="K9" s="75">
        <v>0</v>
      </c>
      <c r="M9" s="1" t="s">
        <v>18</v>
      </c>
      <c r="N9" t="s">
        <v>460</v>
      </c>
      <c r="Y9" s="1" t="s">
        <v>173</v>
      </c>
      <c r="Z9" t="s">
        <v>515</v>
      </c>
      <c r="AH9" s="1" t="s">
        <v>208</v>
      </c>
      <c r="AI9" t="s">
        <v>537</v>
      </c>
    </row>
    <row r="10" spans="2:35" x14ac:dyDescent="0.25">
      <c r="B10" t="s">
        <v>112</v>
      </c>
      <c r="C10" s="1" t="s">
        <v>113</v>
      </c>
      <c r="E10" s="5">
        <v>0.45833333333333298</v>
      </c>
      <c r="G10" t="s">
        <v>19</v>
      </c>
      <c r="H10" t="s">
        <v>461</v>
      </c>
      <c r="I10" t="s">
        <v>372</v>
      </c>
      <c r="J10">
        <v>967.5</v>
      </c>
      <c r="K10" s="75">
        <v>0</v>
      </c>
      <c r="M10" s="1" t="s">
        <v>19</v>
      </c>
      <c r="N10" t="s">
        <v>461</v>
      </c>
      <c r="Y10" s="1" t="s">
        <v>174</v>
      </c>
      <c r="Z10" t="s">
        <v>516</v>
      </c>
      <c r="AH10" s="1" t="s">
        <v>209</v>
      </c>
      <c r="AI10" t="s">
        <v>538</v>
      </c>
    </row>
    <row r="11" spans="2:35" x14ac:dyDescent="0.25">
      <c r="B11" t="s">
        <v>122</v>
      </c>
      <c r="C11" s="1" t="s">
        <v>123</v>
      </c>
      <c r="E11" s="5">
        <v>0.5</v>
      </c>
      <c r="G11" t="s">
        <v>27</v>
      </c>
      <c r="H11" t="s">
        <v>462</v>
      </c>
      <c r="I11" t="s">
        <v>372</v>
      </c>
      <c r="J11">
        <v>734.58</v>
      </c>
      <c r="K11" s="75">
        <v>0</v>
      </c>
      <c r="M11" s="1" t="s">
        <v>27</v>
      </c>
      <c r="N11" t="s">
        <v>462</v>
      </c>
      <c r="Y11" s="1" t="s">
        <v>175</v>
      </c>
      <c r="Z11" t="s">
        <v>517</v>
      </c>
      <c r="AH11" s="1" t="s">
        <v>210</v>
      </c>
      <c r="AI11" t="s">
        <v>539</v>
      </c>
    </row>
    <row r="12" spans="2:35" x14ac:dyDescent="0.25">
      <c r="B12" t="s">
        <v>125</v>
      </c>
      <c r="C12" s="1" t="s">
        <v>126</v>
      </c>
      <c r="E12" s="5">
        <v>0.54166666666666696</v>
      </c>
      <c r="G12" t="s">
        <v>29</v>
      </c>
      <c r="H12" t="s">
        <v>463</v>
      </c>
      <c r="I12" t="s">
        <v>372</v>
      </c>
      <c r="J12">
        <v>335.18</v>
      </c>
      <c r="K12" s="75">
        <v>0</v>
      </c>
      <c r="M12" s="1" t="s">
        <v>29</v>
      </c>
      <c r="N12" t="s">
        <v>463</v>
      </c>
      <c r="Y12" s="1" t="s">
        <v>176</v>
      </c>
      <c r="Z12" t="s">
        <v>518</v>
      </c>
      <c r="AH12" s="1" t="s">
        <v>211</v>
      </c>
      <c r="AI12" t="s">
        <v>540</v>
      </c>
    </row>
    <row r="13" spans="2:35" x14ac:dyDescent="0.25">
      <c r="B13" t="s">
        <v>161</v>
      </c>
      <c r="C13" s="1" t="s">
        <v>133</v>
      </c>
      <c r="E13" s="5">
        <v>0.58333333333333603</v>
      </c>
      <c r="G13" t="s">
        <v>30</v>
      </c>
      <c r="H13" t="s">
        <v>464</v>
      </c>
      <c r="I13" t="s">
        <v>372</v>
      </c>
      <c r="J13">
        <v>545.11</v>
      </c>
      <c r="K13" s="75">
        <v>0</v>
      </c>
      <c r="M13" s="1" t="s">
        <v>30</v>
      </c>
      <c r="N13" t="s">
        <v>464</v>
      </c>
      <c r="Y13" s="1" t="s">
        <v>177</v>
      </c>
      <c r="Z13" t="s">
        <v>519</v>
      </c>
      <c r="AH13" s="1" t="s">
        <v>212</v>
      </c>
      <c r="AI13" t="s">
        <v>541</v>
      </c>
    </row>
    <row r="14" spans="2:35" x14ac:dyDescent="0.25">
      <c r="B14" t="s">
        <v>148</v>
      </c>
      <c r="C14" s="1" t="s">
        <v>149</v>
      </c>
      <c r="E14" s="5">
        <v>0.625000000000003</v>
      </c>
      <c r="G14" t="s">
        <v>31</v>
      </c>
      <c r="H14" t="s">
        <v>465</v>
      </c>
      <c r="I14" t="s">
        <v>372</v>
      </c>
      <c r="J14">
        <v>688.89</v>
      </c>
      <c r="K14" s="75">
        <v>0</v>
      </c>
      <c r="M14" s="1" t="s">
        <v>31</v>
      </c>
      <c r="N14" t="s">
        <v>465</v>
      </c>
      <c r="Y14" s="1" t="s">
        <v>178</v>
      </c>
      <c r="Z14" t="s">
        <v>520</v>
      </c>
      <c r="AH14" s="1" t="s">
        <v>213</v>
      </c>
      <c r="AI14" t="s">
        <v>542</v>
      </c>
    </row>
    <row r="15" spans="2:35" x14ac:dyDescent="0.25">
      <c r="B15" t="s">
        <v>162</v>
      </c>
      <c r="C15" s="1" t="s">
        <v>163</v>
      </c>
      <c r="E15" s="5">
        <v>0.66666666666666996</v>
      </c>
      <c r="G15" t="s">
        <v>32</v>
      </c>
      <c r="H15" t="s">
        <v>466</v>
      </c>
      <c r="I15" t="s">
        <v>372</v>
      </c>
      <c r="J15">
        <v>144.16999999999999</v>
      </c>
      <c r="K15" s="75">
        <v>0</v>
      </c>
      <c r="M15" s="1" t="s">
        <v>32</v>
      </c>
      <c r="N15" t="s">
        <v>466</v>
      </c>
      <c r="Y15" s="1" t="s">
        <v>179</v>
      </c>
      <c r="Z15" t="s">
        <v>521</v>
      </c>
    </row>
    <row r="16" spans="2:35" x14ac:dyDescent="0.25">
      <c r="B16" t="s">
        <v>182</v>
      </c>
      <c r="C16" s="1" t="s">
        <v>181</v>
      </c>
      <c r="E16" s="5">
        <v>0.70833333333333703</v>
      </c>
      <c r="G16" t="s">
        <v>33</v>
      </c>
      <c r="H16" t="s">
        <v>467</v>
      </c>
      <c r="I16" t="s">
        <v>372</v>
      </c>
      <c r="J16">
        <v>578.24</v>
      </c>
      <c r="K16" s="75">
        <v>0</v>
      </c>
      <c r="M16" s="1" t="s">
        <v>33</v>
      </c>
      <c r="N16" t="s">
        <v>467</v>
      </c>
    </row>
    <row r="17" spans="2:17" x14ac:dyDescent="0.25">
      <c r="B17" t="s">
        <v>188</v>
      </c>
      <c r="C17" s="1" t="s">
        <v>189</v>
      </c>
      <c r="E17" s="5">
        <v>0.750000000000004</v>
      </c>
      <c r="G17" t="s">
        <v>34</v>
      </c>
      <c r="H17" t="s">
        <v>468</v>
      </c>
      <c r="I17" t="s">
        <v>372</v>
      </c>
      <c r="J17">
        <v>472.04</v>
      </c>
      <c r="K17" s="75">
        <v>0</v>
      </c>
      <c r="M17" s="1" t="s">
        <v>34</v>
      </c>
      <c r="N17" t="s">
        <v>468</v>
      </c>
    </row>
    <row r="18" spans="2:17" x14ac:dyDescent="0.25">
      <c r="G18" t="s">
        <v>35</v>
      </c>
      <c r="H18" t="s">
        <v>469</v>
      </c>
      <c r="I18" t="s">
        <v>372</v>
      </c>
      <c r="J18">
        <v>74.09</v>
      </c>
      <c r="K18" s="75">
        <v>0</v>
      </c>
      <c r="M18" s="1" t="s">
        <v>35</v>
      </c>
      <c r="N18" t="s">
        <v>469</v>
      </c>
    </row>
    <row r="19" spans="2:17" x14ac:dyDescent="0.25">
      <c r="E19" s="1" t="s">
        <v>373</v>
      </c>
      <c r="G19" t="s">
        <v>44</v>
      </c>
      <c r="H19" t="s">
        <v>470</v>
      </c>
      <c r="I19" t="s">
        <v>372</v>
      </c>
      <c r="J19">
        <v>207.96</v>
      </c>
      <c r="K19" s="75">
        <v>0</v>
      </c>
      <c r="M19" s="1" t="s">
        <v>44</v>
      </c>
      <c r="N19" t="s">
        <v>470</v>
      </c>
    </row>
    <row r="20" spans="2:17" x14ac:dyDescent="0.25">
      <c r="B20" s="24" t="s">
        <v>576</v>
      </c>
      <c r="E20" s="1" t="s">
        <v>372</v>
      </c>
      <c r="G20" t="s">
        <v>45</v>
      </c>
      <c r="H20" t="s">
        <v>471</v>
      </c>
      <c r="I20" t="s">
        <v>372</v>
      </c>
      <c r="J20">
        <v>872.04</v>
      </c>
      <c r="K20" s="75">
        <v>0</v>
      </c>
      <c r="M20" s="1" t="s">
        <v>45</v>
      </c>
      <c r="N20" t="s">
        <v>471</v>
      </c>
    </row>
    <row r="21" spans="2:17" x14ac:dyDescent="0.25">
      <c r="B21" t="s">
        <v>439</v>
      </c>
      <c r="E21" s="1" t="s">
        <v>111</v>
      </c>
      <c r="G21" t="s">
        <v>46</v>
      </c>
      <c r="H21" t="s">
        <v>472</v>
      </c>
      <c r="I21" t="s">
        <v>372</v>
      </c>
      <c r="J21">
        <v>571.13</v>
      </c>
      <c r="K21" s="75">
        <v>0</v>
      </c>
      <c r="M21" s="1" t="s">
        <v>46</v>
      </c>
      <c r="N21" t="s">
        <v>472</v>
      </c>
    </row>
    <row r="22" spans="2:17" x14ac:dyDescent="0.25">
      <c r="B22" t="s">
        <v>577</v>
      </c>
      <c r="E22" s="1" t="s">
        <v>215</v>
      </c>
      <c r="G22" t="s">
        <v>47</v>
      </c>
      <c r="H22" t="s">
        <v>473</v>
      </c>
      <c r="I22" t="s">
        <v>372</v>
      </c>
      <c r="J22">
        <v>883.98</v>
      </c>
      <c r="K22" s="75">
        <v>0</v>
      </c>
      <c r="M22" s="1" t="s">
        <v>47</v>
      </c>
      <c r="N22" t="s">
        <v>473</v>
      </c>
    </row>
    <row r="23" spans="2:17" x14ac:dyDescent="0.25">
      <c r="E23" s="1" t="s">
        <v>127</v>
      </c>
      <c r="G23" t="s">
        <v>48</v>
      </c>
      <c r="H23" t="s">
        <v>474</v>
      </c>
      <c r="I23" t="s">
        <v>372</v>
      </c>
      <c r="J23">
        <v>386.13</v>
      </c>
      <c r="K23" s="75">
        <v>0</v>
      </c>
      <c r="M23" s="1" t="s">
        <v>48</v>
      </c>
      <c r="N23" t="s">
        <v>474</v>
      </c>
    </row>
    <row r="24" spans="2:17" x14ac:dyDescent="0.25">
      <c r="E24" s="1" t="s">
        <v>132</v>
      </c>
      <c r="G24" t="s">
        <v>49</v>
      </c>
      <c r="H24" t="s">
        <v>475</v>
      </c>
      <c r="I24" t="s">
        <v>372</v>
      </c>
      <c r="J24">
        <v>501.07</v>
      </c>
      <c r="K24" s="75">
        <v>0</v>
      </c>
      <c r="M24" s="1" t="s">
        <v>49</v>
      </c>
      <c r="N24" t="s">
        <v>475</v>
      </c>
    </row>
    <row r="25" spans="2:17" x14ac:dyDescent="0.25">
      <c r="B25" t="s">
        <v>578</v>
      </c>
      <c r="E25" s="1" t="s">
        <v>148</v>
      </c>
      <c r="G25" t="s">
        <v>50</v>
      </c>
      <c r="H25" t="s">
        <v>476</v>
      </c>
      <c r="I25" t="s">
        <v>372</v>
      </c>
      <c r="J25">
        <v>342.83</v>
      </c>
      <c r="K25" s="75">
        <v>0</v>
      </c>
      <c r="M25" s="1" t="s">
        <v>50</v>
      </c>
      <c r="N25" t="s">
        <v>476</v>
      </c>
    </row>
    <row r="26" spans="2:17" x14ac:dyDescent="0.25">
      <c r="B26" t="s">
        <v>556</v>
      </c>
      <c r="E26" s="1" t="s">
        <v>183</v>
      </c>
      <c r="G26" t="s">
        <v>51</v>
      </c>
      <c r="H26" t="s">
        <v>477</v>
      </c>
      <c r="I26" t="s">
        <v>372</v>
      </c>
      <c r="J26">
        <v>89.96</v>
      </c>
      <c r="K26" s="75">
        <v>0</v>
      </c>
      <c r="M26" s="1" t="s">
        <v>51</v>
      </c>
      <c r="N26" t="s">
        <v>477</v>
      </c>
      <c r="Q26" t="s">
        <v>230</v>
      </c>
    </row>
    <row r="27" spans="2:17" x14ac:dyDescent="0.25">
      <c r="B27" t="s">
        <v>579</v>
      </c>
      <c r="E27" s="1" t="s">
        <v>216</v>
      </c>
      <c r="G27" t="s">
        <v>61</v>
      </c>
      <c r="H27" t="s">
        <v>478</v>
      </c>
      <c r="I27" t="s">
        <v>372</v>
      </c>
      <c r="J27">
        <v>569.71</v>
      </c>
      <c r="K27" s="75">
        <v>0</v>
      </c>
      <c r="M27" s="1" t="s">
        <v>61</v>
      </c>
      <c r="N27" t="s">
        <v>478</v>
      </c>
    </row>
    <row r="28" spans="2:17" x14ac:dyDescent="0.25">
      <c r="B28" t="s">
        <v>580</v>
      </c>
      <c r="G28" t="s">
        <v>62</v>
      </c>
      <c r="H28" t="s">
        <v>479</v>
      </c>
      <c r="I28" t="s">
        <v>372</v>
      </c>
      <c r="J28">
        <v>560.27</v>
      </c>
      <c r="K28" s="75">
        <v>0</v>
      </c>
      <c r="M28" s="1" t="s">
        <v>62</v>
      </c>
      <c r="N28" t="s">
        <v>479</v>
      </c>
    </row>
    <row r="29" spans="2:17" x14ac:dyDescent="0.25">
      <c r="G29" t="s">
        <v>63</v>
      </c>
      <c r="H29" t="s">
        <v>480</v>
      </c>
      <c r="I29" t="s">
        <v>372</v>
      </c>
      <c r="J29">
        <v>954.47</v>
      </c>
      <c r="K29" s="75">
        <v>0</v>
      </c>
      <c r="M29" s="1" t="s">
        <v>63</v>
      </c>
      <c r="N29" t="s">
        <v>480</v>
      </c>
    </row>
    <row r="30" spans="2:17" x14ac:dyDescent="0.25">
      <c r="G30" t="s">
        <v>64</v>
      </c>
      <c r="H30" t="s">
        <v>481</v>
      </c>
      <c r="I30" t="s">
        <v>372</v>
      </c>
      <c r="J30">
        <v>533.52</v>
      </c>
      <c r="K30" s="75">
        <v>0</v>
      </c>
      <c r="M30" s="1" t="s">
        <v>64</v>
      </c>
      <c r="N30" t="s">
        <v>481</v>
      </c>
    </row>
    <row r="31" spans="2:17" x14ac:dyDescent="0.25">
      <c r="G31" t="s">
        <v>65</v>
      </c>
      <c r="H31" t="s">
        <v>482</v>
      </c>
      <c r="I31" t="s">
        <v>372</v>
      </c>
      <c r="J31">
        <v>50.26</v>
      </c>
      <c r="K31" s="75">
        <v>0</v>
      </c>
      <c r="M31" s="1" t="s">
        <v>65</v>
      </c>
      <c r="N31" t="s">
        <v>482</v>
      </c>
    </row>
    <row r="32" spans="2:17" x14ac:dyDescent="0.25">
      <c r="G32" t="s">
        <v>66</v>
      </c>
      <c r="H32" t="s">
        <v>483</v>
      </c>
      <c r="I32" t="s">
        <v>372</v>
      </c>
      <c r="J32">
        <v>1041.3900000000001</v>
      </c>
      <c r="K32" s="75">
        <v>0</v>
      </c>
      <c r="M32" s="1" t="s">
        <v>66</v>
      </c>
      <c r="N32" t="s">
        <v>483</v>
      </c>
    </row>
    <row r="33" spans="7:14" x14ac:dyDescent="0.25">
      <c r="G33" t="s">
        <v>67</v>
      </c>
      <c r="H33" t="s">
        <v>484</v>
      </c>
      <c r="I33" t="s">
        <v>372</v>
      </c>
      <c r="J33">
        <v>317.58</v>
      </c>
      <c r="K33" s="75">
        <v>0</v>
      </c>
      <c r="M33" s="1" t="s">
        <v>67</v>
      </c>
      <c r="N33" t="s">
        <v>484</v>
      </c>
    </row>
    <row r="34" spans="7:14" x14ac:dyDescent="0.25">
      <c r="G34" t="s">
        <v>80</v>
      </c>
      <c r="H34" t="s">
        <v>485</v>
      </c>
      <c r="I34" t="s">
        <v>372</v>
      </c>
      <c r="J34">
        <v>128.91999999999999</v>
      </c>
      <c r="K34" s="75">
        <v>0</v>
      </c>
      <c r="M34" s="1" t="s">
        <v>80</v>
      </c>
      <c r="N34" t="s">
        <v>485</v>
      </c>
    </row>
    <row r="35" spans="7:14" x14ac:dyDescent="0.25">
      <c r="G35" t="s">
        <v>81</v>
      </c>
      <c r="H35" t="s">
        <v>486</v>
      </c>
      <c r="I35" t="s">
        <v>372</v>
      </c>
      <c r="J35">
        <v>259.06</v>
      </c>
      <c r="K35" s="75">
        <v>0</v>
      </c>
      <c r="M35" s="1" t="s">
        <v>81</v>
      </c>
      <c r="N35" t="s">
        <v>486</v>
      </c>
    </row>
    <row r="36" spans="7:14" x14ac:dyDescent="0.25">
      <c r="G36" t="s">
        <v>82</v>
      </c>
      <c r="H36" t="s">
        <v>487</v>
      </c>
      <c r="I36" t="s">
        <v>372</v>
      </c>
      <c r="J36">
        <v>146.43</v>
      </c>
      <c r="K36" s="75">
        <v>0</v>
      </c>
      <c r="M36" s="1" t="s">
        <v>82</v>
      </c>
      <c r="N36" t="s">
        <v>487</v>
      </c>
    </row>
    <row r="37" spans="7:14" x14ac:dyDescent="0.25">
      <c r="G37" t="s">
        <v>83</v>
      </c>
      <c r="H37" t="s">
        <v>488</v>
      </c>
      <c r="I37" t="s">
        <v>372</v>
      </c>
      <c r="J37">
        <v>784.57</v>
      </c>
      <c r="K37" s="75">
        <v>0</v>
      </c>
      <c r="M37" s="1" t="s">
        <v>83</v>
      </c>
      <c r="N37" t="s">
        <v>488</v>
      </c>
    </row>
    <row r="38" spans="7:14" x14ac:dyDescent="0.25">
      <c r="G38" t="s">
        <v>84</v>
      </c>
      <c r="H38" t="s">
        <v>489</v>
      </c>
      <c r="I38" t="s">
        <v>372</v>
      </c>
      <c r="J38">
        <v>133.69999999999999</v>
      </c>
      <c r="K38" s="75">
        <v>0</v>
      </c>
      <c r="M38" s="1" t="s">
        <v>84</v>
      </c>
      <c r="N38" t="s">
        <v>489</v>
      </c>
    </row>
    <row r="39" spans="7:14" x14ac:dyDescent="0.25">
      <c r="G39" t="s">
        <v>85</v>
      </c>
      <c r="H39" t="s">
        <v>490</v>
      </c>
      <c r="I39" t="s">
        <v>372</v>
      </c>
      <c r="J39">
        <v>95.24</v>
      </c>
      <c r="K39" s="75">
        <v>0</v>
      </c>
      <c r="M39" s="1" t="s">
        <v>85</v>
      </c>
      <c r="N39" t="s">
        <v>490</v>
      </c>
    </row>
    <row r="40" spans="7:14" x14ac:dyDescent="0.25">
      <c r="G40" t="s">
        <v>86</v>
      </c>
      <c r="H40" t="s">
        <v>491</v>
      </c>
      <c r="I40" t="s">
        <v>372</v>
      </c>
      <c r="J40">
        <v>713.27</v>
      </c>
      <c r="K40" s="75">
        <v>0</v>
      </c>
      <c r="M40" s="1" t="s">
        <v>86</v>
      </c>
      <c r="N40" t="s">
        <v>491</v>
      </c>
    </row>
    <row r="41" spans="7:14" x14ac:dyDescent="0.25">
      <c r="G41" t="s">
        <v>96</v>
      </c>
      <c r="H41" t="s">
        <v>492</v>
      </c>
      <c r="I41" t="s">
        <v>372</v>
      </c>
      <c r="J41">
        <v>895.43</v>
      </c>
      <c r="K41" s="75">
        <v>0</v>
      </c>
      <c r="M41" s="1" t="s">
        <v>96</v>
      </c>
      <c r="N41" t="s">
        <v>492</v>
      </c>
    </row>
    <row r="42" spans="7:14" x14ac:dyDescent="0.25">
      <c r="G42" t="s">
        <v>97</v>
      </c>
      <c r="H42" t="s">
        <v>493</v>
      </c>
      <c r="I42" t="s">
        <v>372</v>
      </c>
      <c r="J42">
        <v>903.08</v>
      </c>
      <c r="K42" s="75">
        <v>0</v>
      </c>
      <c r="M42" s="1" t="s">
        <v>97</v>
      </c>
      <c r="N42" t="s">
        <v>493</v>
      </c>
    </row>
    <row r="43" spans="7:14" x14ac:dyDescent="0.25">
      <c r="G43" t="s">
        <v>98</v>
      </c>
      <c r="H43" t="s">
        <v>494</v>
      </c>
      <c r="I43" t="s">
        <v>372</v>
      </c>
      <c r="J43">
        <v>743.87</v>
      </c>
      <c r="K43" s="75">
        <v>0</v>
      </c>
      <c r="M43" s="1" t="s">
        <v>98</v>
      </c>
      <c r="N43" t="s">
        <v>494</v>
      </c>
    </row>
    <row r="44" spans="7:14" x14ac:dyDescent="0.25">
      <c r="G44" t="s">
        <v>101</v>
      </c>
      <c r="H44" t="s">
        <v>495</v>
      </c>
      <c r="I44" t="s">
        <v>372</v>
      </c>
      <c r="J44">
        <v>461.46</v>
      </c>
      <c r="K44" s="75">
        <v>0</v>
      </c>
      <c r="M44" s="1" t="s">
        <v>101</v>
      </c>
      <c r="N44" t="s">
        <v>495</v>
      </c>
    </row>
    <row r="45" spans="7:14" x14ac:dyDescent="0.25">
      <c r="G45" t="s">
        <v>107</v>
      </c>
      <c r="H45" t="s">
        <v>496</v>
      </c>
      <c r="I45" t="s">
        <v>372</v>
      </c>
      <c r="J45">
        <v>263.91000000000003</v>
      </c>
      <c r="K45" s="75">
        <v>0</v>
      </c>
      <c r="M45" s="1" t="s">
        <v>107</v>
      </c>
      <c r="N45" t="s">
        <v>496</v>
      </c>
    </row>
    <row r="46" spans="7:14" x14ac:dyDescent="0.25">
      <c r="G46" t="s">
        <v>108</v>
      </c>
      <c r="H46" t="s">
        <v>497</v>
      </c>
      <c r="I46" t="s">
        <v>372</v>
      </c>
      <c r="J46">
        <v>893.73</v>
      </c>
      <c r="K46" s="75">
        <v>0</v>
      </c>
      <c r="M46" s="1" t="s">
        <v>108</v>
      </c>
      <c r="N46" t="s">
        <v>497</v>
      </c>
    </row>
    <row r="47" spans="7:14" x14ac:dyDescent="0.25">
      <c r="G47" t="s">
        <v>109</v>
      </c>
      <c r="H47" t="s">
        <v>498</v>
      </c>
      <c r="I47" t="s">
        <v>372</v>
      </c>
      <c r="J47">
        <v>753.03</v>
      </c>
      <c r="K47" s="75">
        <v>0</v>
      </c>
      <c r="M47" s="1" t="s">
        <v>109</v>
      </c>
      <c r="N47" t="s">
        <v>498</v>
      </c>
    </row>
    <row r="48" spans="7:14" x14ac:dyDescent="0.25">
      <c r="G48" t="s">
        <v>110</v>
      </c>
      <c r="H48" t="s">
        <v>499</v>
      </c>
      <c r="I48" t="s">
        <v>372</v>
      </c>
      <c r="J48">
        <v>259.87</v>
      </c>
      <c r="K48" s="75">
        <v>0</v>
      </c>
      <c r="M48" s="1" t="s">
        <v>110</v>
      </c>
      <c r="N48" t="s">
        <v>499</v>
      </c>
    </row>
    <row r="49" spans="7:11" x14ac:dyDescent="0.25">
      <c r="G49" t="s">
        <v>114</v>
      </c>
      <c r="H49" t="s">
        <v>500</v>
      </c>
      <c r="I49" t="s">
        <v>111</v>
      </c>
      <c r="J49">
        <v>520.30999999999995</v>
      </c>
      <c r="K49" s="75">
        <v>0</v>
      </c>
    </row>
    <row r="50" spans="7:11" x14ac:dyDescent="0.25">
      <c r="G50" t="s">
        <v>119</v>
      </c>
      <c r="H50" t="s">
        <v>501</v>
      </c>
      <c r="I50" t="s">
        <v>111</v>
      </c>
      <c r="J50">
        <v>57.33</v>
      </c>
      <c r="K50" s="75">
        <v>0</v>
      </c>
    </row>
    <row r="51" spans="7:11" x14ac:dyDescent="0.25">
      <c r="G51" t="s">
        <v>120</v>
      </c>
      <c r="H51" t="s">
        <v>502</v>
      </c>
      <c r="I51" t="s">
        <v>111</v>
      </c>
      <c r="J51">
        <v>544.63</v>
      </c>
      <c r="K51" s="75">
        <v>0</v>
      </c>
    </row>
    <row r="52" spans="7:11" x14ac:dyDescent="0.25">
      <c r="G52" t="s">
        <v>121</v>
      </c>
      <c r="H52" t="s">
        <v>503</v>
      </c>
      <c r="I52" t="s">
        <v>111</v>
      </c>
      <c r="J52">
        <v>428.39</v>
      </c>
      <c r="K52" s="75">
        <v>0</v>
      </c>
    </row>
    <row r="53" spans="7:11" x14ac:dyDescent="0.25">
      <c r="G53" t="s">
        <v>124</v>
      </c>
      <c r="H53" t="s">
        <v>504</v>
      </c>
      <c r="I53" t="s">
        <v>215</v>
      </c>
      <c r="J53">
        <v>791.4</v>
      </c>
      <c r="K53" s="75">
        <v>0</v>
      </c>
    </row>
    <row r="54" spans="7:11" x14ac:dyDescent="0.25">
      <c r="G54" t="s">
        <v>134</v>
      </c>
      <c r="H54" t="s">
        <v>505</v>
      </c>
      <c r="I54" t="s">
        <v>127</v>
      </c>
      <c r="J54">
        <v>325.97000000000003</v>
      </c>
      <c r="K54" s="75">
        <v>0</v>
      </c>
    </row>
    <row r="55" spans="7:11" x14ac:dyDescent="0.25">
      <c r="G55" t="s">
        <v>135</v>
      </c>
      <c r="H55" t="s">
        <v>506</v>
      </c>
      <c r="I55" t="s">
        <v>127</v>
      </c>
      <c r="J55">
        <v>118.61</v>
      </c>
      <c r="K55" s="75">
        <v>0</v>
      </c>
    </row>
    <row r="56" spans="7:11" x14ac:dyDescent="0.25">
      <c r="G56" t="s">
        <v>136</v>
      </c>
      <c r="H56" t="s">
        <v>507</v>
      </c>
      <c r="I56" t="s">
        <v>127</v>
      </c>
      <c r="J56">
        <v>409.71</v>
      </c>
      <c r="K56" s="75">
        <v>0</v>
      </c>
    </row>
    <row r="57" spans="7:11" x14ac:dyDescent="0.25">
      <c r="G57" t="s">
        <v>137</v>
      </c>
      <c r="H57" t="s">
        <v>508</v>
      </c>
      <c r="I57" t="s">
        <v>127</v>
      </c>
      <c r="J57">
        <v>194.45</v>
      </c>
      <c r="K57" s="75">
        <v>0</v>
      </c>
    </row>
    <row r="58" spans="7:11" x14ac:dyDescent="0.25">
      <c r="G58" t="s">
        <v>138</v>
      </c>
      <c r="H58" t="s">
        <v>509</v>
      </c>
      <c r="I58" t="s">
        <v>132</v>
      </c>
      <c r="J58">
        <v>918.28</v>
      </c>
      <c r="K58" s="75">
        <v>0</v>
      </c>
    </row>
    <row r="59" spans="7:11" x14ac:dyDescent="0.25">
      <c r="G59" t="s">
        <v>139</v>
      </c>
      <c r="H59" t="s">
        <v>510</v>
      </c>
      <c r="I59" t="s">
        <v>132</v>
      </c>
      <c r="J59">
        <v>612.22</v>
      </c>
      <c r="K59" s="75">
        <v>0</v>
      </c>
    </row>
    <row r="60" spans="7:11" x14ac:dyDescent="0.25">
      <c r="G60" t="s">
        <v>140</v>
      </c>
      <c r="H60" t="s">
        <v>511</v>
      </c>
      <c r="I60" t="s">
        <v>132</v>
      </c>
      <c r="J60">
        <v>124.48</v>
      </c>
      <c r="K60" s="75">
        <v>0</v>
      </c>
    </row>
    <row r="61" spans="7:11" x14ac:dyDescent="0.25">
      <c r="G61" t="s">
        <v>141</v>
      </c>
      <c r="H61" t="s">
        <v>512</v>
      </c>
      <c r="I61" t="s">
        <v>132</v>
      </c>
      <c r="J61">
        <v>492.89</v>
      </c>
      <c r="K61" s="75">
        <v>0</v>
      </c>
    </row>
    <row r="62" spans="7:11" x14ac:dyDescent="0.25">
      <c r="G62" t="s">
        <v>147</v>
      </c>
      <c r="H62" t="s">
        <v>513</v>
      </c>
      <c r="I62" t="s">
        <v>132</v>
      </c>
      <c r="J62">
        <v>992.58</v>
      </c>
      <c r="K62" s="75">
        <v>0</v>
      </c>
    </row>
    <row r="63" spans="7:11" x14ac:dyDescent="0.25">
      <c r="G63" t="s">
        <v>151</v>
      </c>
      <c r="H63" t="s">
        <v>522</v>
      </c>
      <c r="I63" t="s">
        <v>148</v>
      </c>
      <c r="J63">
        <v>346.36</v>
      </c>
      <c r="K63" s="75">
        <v>0</v>
      </c>
    </row>
    <row r="64" spans="7:11" x14ac:dyDescent="0.25">
      <c r="G64" t="s">
        <v>156</v>
      </c>
      <c r="H64" t="s">
        <v>523</v>
      </c>
      <c r="I64" t="s">
        <v>148</v>
      </c>
      <c r="J64">
        <v>483.54</v>
      </c>
      <c r="K64" s="75">
        <v>0</v>
      </c>
    </row>
    <row r="65" spans="7:11" x14ac:dyDescent="0.25">
      <c r="G65" t="s">
        <v>157</v>
      </c>
      <c r="H65" t="s">
        <v>524</v>
      </c>
      <c r="I65" t="s">
        <v>148</v>
      </c>
      <c r="J65">
        <v>56.19</v>
      </c>
      <c r="K65" s="75">
        <v>0</v>
      </c>
    </row>
    <row r="66" spans="7:11" x14ac:dyDescent="0.25">
      <c r="G66" t="s">
        <v>158</v>
      </c>
      <c r="H66" t="s">
        <v>525</v>
      </c>
      <c r="I66" t="s">
        <v>148</v>
      </c>
      <c r="J66">
        <v>110.12</v>
      </c>
      <c r="K66" s="75">
        <v>0</v>
      </c>
    </row>
    <row r="67" spans="7:11" x14ac:dyDescent="0.25">
      <c r="G67" t="s">
        <v>159</v>
      </c>
      <c r="H67" t="s">
        <v>526</v>
      </c>
      <c r="I67" t="s">
        <v>148</v>
      </c>
      <c r="J67">
        <v>916.08</v>
      </c>
      <c r="K67" s="75">
        <v>0</v>
      </c>
    </row>
    <row r="68" spans="7:11" x14ac:dyDescent="0.25">
      <c r="G68" t="s">
        <v>164</v>
      </c>
      <c r="H68" t="s">
        <v>514</v>
      </c>
      <c r="I68" t="s">
        <v>132</v>
      </c>
      <c r="J68">
        <v>676.68</v>
      </c>
      <c r="K68" s="75">
        <v>0</v>
      </c>
    </row>
    <row r="69" spans="7:11" x14ac:dyDescent="0.25">
      <c r="G69" t="s">
        <v>173</v>
      </c>
      <c r="H69" t="s">
        <v>515</v>
      </c>
      <c r="I69" t="s">
        <v>132</v>
      </c>
      <c r="J69">
        <v>610.54</v>
      </c>
      <c r="K69" s="75">
        <v>0</v>
      </c>
    </row>
    <row r="70" spans="7:11" x14ac:dyDescent="0.25">
      <c r="G70" t="s">
        <v>174</v>
      </c>
      <c r="H70" t="s">
        <v>516</v>
      </c>
      <c r="I70" t="s">
        <v>132</v>
      </c>
      <c r="J70">
        <v>722</v>
      </c>
      <c r="K70" s="75">
        <v>0</v>
      </c>
    </row>
    <row r="71" spans="7:11" x14ac:dyDescent="0.25">
      <c r="G71" t="s">
        <v>175</v>
      </c>
      <c r="H71" t="s">
        <v>517</v>
      </c>
      <c r="I71" t="s">
        <v>132</v>
      </c>
      <c r="J71">
        <v>116.08</v>
      </c>
      <c r="K71" s="75">
        <v>0</v>
      </c>
    </row>
    <row r="72" spans="7:11" x14ac:dyDescent="0.25">
      <c r="G72" t="s">
        <v>176</v>
      </c>
      <c r="H72" t="s">
        <v>518</v>
      </c>
      <c r="I72" t="s">
        <v>132</v>
      </c>
      <c r="J72">
        <v>461.65</v>
      </c>
      <c r="K72" s="75">
        <v>0</v>
      </c>
    </row>
    <row r="73" spans="7:11" x14ac:dyDescent="0.25">
      <c r="G73" t="s">
        <v>177</v>
      </c>
      <c r="H73" t="s">
        <v>519</v>
      </c>
      <c r="I73" t="s">
        <v>132</v>
      </c>
      <c r="J73">
        <v>813.68</v>
      </c>
      <c r="K73" s="75">
        <v>0</v>
      </c>
    </row>
    <row r="74" spans="7:11" x14ac:dyDescent="0.25">
      <c r="G74" t="s">
        <v>178</v>
      </c>
      <c r="H74" t="s">
        <v>520</v>
      </c>
      <c r="I74" t="s">
        <v>132</v>
      </c>
      <c r="J74">
        <v>136.72999999999999</v>
      </c>
      <c r="K74" s="75">
        <v>0</v>
      </c>
    </row>
    <row r="75" spans="7:11" x14ac:dyDescent="0.25">
      <c r="G75" t="s">
        <v>179</v>
      </c>
      <c r="H75" t="s">
        <v>521</v>
      </c>
      <c r="I75" t="s">
        <v>132</v>
      </c>
      <c r="J75">
        <v>358.23</v>
      </c>
      <c r="K75" s="75">
        <v>0</v>
      </c>
    </row>
    <row r="76" spans="7:11" x14ac:dyDescent="0.25">
      <c r="G76" t="s">
        <v>184</v>
      </c>
      <c r="H76" t="s">
        <v>527</v>
      </c>
      <c r="I76" t="s">
        <v>183</v>
      </c>
      <c r="J76">
        <v>329.05</v>
      </c>
      <c r="K76" s="75">
        <v>0</v>
      </c>
    </row>
    <row r="77" spans="7:11" x14ac:dyDescent="0.25">
      <c r="G77" t="s">
        <v>220</v>
      </c>
      <c r="H77" t="s">
        <v>528</v>
      </c>
      <c r="I77" t="s">
        <v>183</v>
      </c>
      <c r="J77">
        <v>919.46</v>
      </c>
      <c r="K77" s="75">
        <v>0</v>
      </c>
    </row>
    <row r="78" spans="7:11" x14ac:dyDescent="0.25">
      <c r="G78" t="s">
        <v>221</v>
      </c>
      <c r="H78" t="s">
        <v>529</v>
      </c>
      <c r="I78" t="s">
        <v>183</v>
      </c>
      <c r="J78">
        <v>494.31</v>
      </c>
      <c r="K78" s="75">
        <v>0</v>
      </c>
    </row>
    <row r="79" spans="7:11" x14ac:dyDescent="0.25">
      <c r="G79" t="s">
        <v>222</v>
      </c>
      <c r="H79" t="s">
        <v>530</v>
      </c>
      <c r="I79" t="s">
        <v>183</v>
      </c>
      <c r="J79">
        <v>229.67</v>
      </c>
      <c r="K79" s="75">
        <v>0</v>
      </c>
    </row>
    <row r="80" spans="7:11" x14ac:dyDescent="0.25">
      <c r="G80" t="s">
        <v>190</v>
      </c>
      <c r="H80" t="s">
        <v>531</v>
      </c>
      <c r="I80" t="s">
        <v>216</v>
      </c>
      <c r="J80">
        <v>899.17</v>
      </c>
      <c r="K80" s="75">
        <v>0</v>
      </c>
    </row>
    <row r="81" spans="7:11" x14ac:dyDescent="0.25">
      <c r="G81" t="s">
        <v>203</v>
      </c>
      <c r="H81" t="s">
        <v>532</v>
      </c>
      <c r="I81" t="s">
        <v>216</v>
      </c>
      <c r="J81">
        <v>513.16</v>
      </c>
      <c r="K81" s="75">
        <v>0</v>
      </c>
    </row>
    <row r="82" spans="7:11" x14ac:dyDescent="0.25">
      <c r="G82" t="s">
        <v>204</v>
      </c>
      <c r="H82" t="s">
        <v>533</v>
      </c>
      <c r="I82" t="s">
        <v>216</v>
      </c>
      <c r="J82">
        <v>823.8</v>
      </c>
      <c r="K82" s="75">
        <v>0</v>
      </c>
    </row>
    <row r="83" spans="7:11" x14ac:dyDescent="0.25">
      <c r="G83" t="s">
        <v>205</v>
      </c>
      <c r="H83" t="s">
        <v>534</v>
      </c>
      <c r="I83" t="s">
        <v>216</v>
      </c>
      <c r="J83">
        <v>781.82</v>
      </c>
      <c r="K83" s="75">
        <v>0</v>
      </c>
    </row>
    <row r="84" spans="7:11" x14ac:dyDescent="0.25">
      <c r="G84" t="s">
        <v>206</v>
      </c>
      <c r="H84" t="s">
        <v>535</v>
      </c>
      <c r="I84" t="s">
        <v>216</v>
      </c>
      <c r="J84">
        <v>709.16</v>
      </c>
      <c r="K84" s="75">
        <v>0</v>
      </c>
    </row>
    <row r="85" spans="7:11" x14ac:dyDescent="0.25">
      <c r="G85" t="s">
        <v>207</v>
      </c>
      <c r="H85" t="s">
        <v>536</v>
      </c>
      <c r="I85" t="s">
        <v>216</v>
      </c>
      <c r="J85">
        <v>403.6</v>
      </c>
      <c r="K85" s="75">
        <v>0</v>
      </c>
    </row>
    <row r="86" spans="7:11" x14ac:dyDescent="0.25">
      <c r="G86" t="s">
        <v>208</v>
      </c>
      <c r="H86" t="s">
        <v>537</v>
      </c>
      <c r="I86" t="s">
        <v>216</v>
      </c>
      <c r="J86">
        <v>528.53</v>
      </c>
      <c r="K86" s="75">
        <v>0</v>
      </c>
    </row>
    <row r="87" spans="7:11" x14ac:dyDescent="0.25">
      <c r="G87" t="s">
        <v>209</v>
      </c>
      <c r="H87" t="s">
        <v>538</v>
      </c>
      <c r="I87" t="s">
        <v>216</v>
      </c>
      <c r="J87">
        <v>228.31</v>
      </c>
      <c r="K87" s="75">
        <v>0</v>
      </c>
    </row>
    <row r="88" spans="7:11" x14ac:dyDescent="0.25">
      <c r="G88" t="s">
        <v>210</v>
      </c>
      <c r="H88" t="s">
        <v>539</v>
      </c>
      <c r="I88" t="s">
        <v>216</v>
      </c>
      <c r="J88">
        <v>1003.57</v>
      </c>
      <c r="K88" s="75">
        <v>0</v>
      </c>
    </row>
    <row r="89" spans="7:11" x14ac:dyDescent="0.25">
      <c r="G89" t="s">
        <v>211</v>
      </c>
      <c r="H89" t="s">
        <v>540</v>
      </c>
      <c r="I89" t="s">
        <v>216</v>
      </c>
      <c r="J89">
        <v>276.14999999999998</v>
      </c>
      <c r="K89" s="75">
        <v>0</v>
      </c>
    </row>
    <row r="90" spans="7:11" x14ac:dyDescent="0.25">
      <c r="G90" t="s">
        <v>212</v>
      </c>
      <c r="H90" t="s">
        <v>541</v>
      </c>
      <c r="I90" t="s">
        <v>216</v>
      </c>
      <c r="J90">
        <v>819.43</v>
      </c>
      <c r="K90" s="75">
        <v>0</v>
      </c>
    </row>
    <row r="91" spans="7:11" x14ac:dyDescent="0.25">
      <c r="G91" t="s">
        <v>213</v>
      </c>
      <c r="H91" t="s">
        <v>542</v>
      </c>
      <c r="I91" t="s">
        <v>216</v>
      </c>
      <c r="J91">
        <v>793.99</v>
      </c>
      <c r="K91" s="75">
        <v>0</v>
      </c>
    </row>
  </sheetData>
  <mergeCells count="8">
    <mergeCell ref="Y1:Z1"/>
    <mergeCell ref="AB1:AC1"/>
    <mergeCell ref="AE1:AF1"/>
    <mergeCell ref="AH1:AI1"/>
    <mergeCell ref="M1:N1"/>
    <mergeCell ref="P1:Q1"/>
    <mergeCell ref="S1:T1"/>
    <mergeCell ref="V1:W1"/>
  </mergeCells>
  <phoneticPr fontId="1" type="noConversion"/>
  <dataValidations count="1">
    <dataValidation type="list" allowBlank="1" showInputMessage="1" showErrorMessage="1" sqref="I3:I91" xr:uid="{0DDD9A3E-979F-4792-82BA-B9BC6F17C37C}">
      <formula1>categoria_list</formula1>
    </dataValidation>
  </dataValidations>
  <pageMargins left="0.7" right="0.7" top="0.75" bottom="0.75"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F366DECE-16A5-4886-B04C-9D961C704ABA}">
  <ds:schemaRefs/>
</ds:datastoreItem>
</file>

<file path=customXml/itemProps2.xml><?xml version="1.0" encoding="utf-8"?>
<ds:datastoreItem xmlns:ds="http://schemas.openxmlformats.org/officeDocument/2006/customXml" ds:itemID="{59622D94-C503-45A4-8D8B-EF6AAFD3C452}">
  <ds:schemaRefs>
    <ds:schemaRef ds:uri="http://schemas.microsoft.com/DataMashup"/>
  </ds:schemaRefs>
</ds:datastoreItem>
</file>

<file path=customXml/itemProps3.xml><?xml version="1.0" encoding="utf-8"?>
<ds:datastoreItem xmlns:ds="http://schemas.openxmlformats.org/officeDocument/2006/customXml" ds:itemID="{582FA9D0-9332-4A37-9E84-A35E712BF43C}">
  <ds:schemaRefs/>
</ds:datastoreItem>
</file>

<file path=customXml/itemProps4.xml><?xml version="1.0" encoding="utf-8"?>
<ds:datastoreItem xmlns:ds="http://schemas.openxmlformats.org/officeDocument/2006/customXml" ds:itemID="{BBA2C573-0A3F-46A6-9325-C0E1D5AF008E}">
  <ds:schemaRefs/>
</ds:datastoreItem>
</file>

<file path=customXml/itemProps5.xml><?xml version="1.0" encoding="utf-8"?>
<ds:datastoreItem xmlns:ds="http://schemas.openxmlformats.org/officeDocument/2006/customXml" ds:itemID="{8883B5B9-6687-4599-91C6-01D99BFA9DE9}">
  <ds:schemaRefs/>
</ds:datastoreItem>
</file>

<file path=customXml/itemProps6.xml><?xml version="1.0" encoding="utf-8"?>
<ds:datastoreItem xmlns:ds="http://schemas.openxmlformats.org/officeDocument/2006/customXml" ds:itemID="{7406702C-3B63-4478-978F-B31E006F562A}">
  <ds:schemaRefs/>
</ds:datastoreItem>
</file>

<file path=customXml/itemProps7.xml><?xml version="1.0" encoding="utf-8"?>
<ds:datastoreItem xmlns:ds="http://schemas.openxmlformats.org/officeDocument/2006/customXml" ds:itemID="{E59CBED0-77A3-4B04-8B25-E720653BA232}">
  <ds:schemaRefs/>
</ds:datastoreItem>
</file>

<file path=customXml/itemProps8.xml><?xml version="1.0" encoding="utf-8"?>
<ds:datastoreItem xmlns:ds="http://schemas.openxmlformats.org/officeDocument/2006/customXml" ds:itemID="{A1ACB1A9-EA26-4A43-A52A-CD673AEB8B13}">
  <ds:schemaRefs/>
</ds:datastoreItem>
</file>

<file path=customXml/itemProps9.xml><?xml version="1.0" encoding="utf-8"?>
<ds:datastoreItem xmlns:ds="http://schemas.openxmlformats.org/officeDocument/2006/customXml" ds:itemID="{DBBFE9B2-4C7A-4C7B-9F4D-5B98828C5F49}">
  <ds:schemaRefs/>
</ds:datastoreItem>
</file>

<file path=customXml/itemProps10.xml><?xml version="1.0" encoding="utf-8"?>
<ds:datastoreItem xmlns:ds="http://schemas.openxmlformats.org/officeDocument/2006/customXml" ds:itemID="{8AC1313E-C376-4C49-B84F-FE300BF57D68}">
  <ds:schemaRefs/>
</ds:datastoreItem>
</file>

<file path=customXml/itemProps11.xml><?xml version="1.0" encoding="utf-8"?>
<ds:datastoreItem xmlns:ds="http://schemas.openxmlformats.org/officeDocument/2006/customXml" ds:itemID="{8096DBEA-F386-4689-BB6F-7799DFAC7037}">
  <ds:schemaRefs/>
</ds:datastoreItem>
</file>

<file path=customXml/itemProps12.xml><?xml version="1.0" encoding="utf-8"?>
<ds:datastoreItem xmlns:ds="http://schemas.openxmlformats.org/officeDocument/2006/customXml" ds:itemID="{72F009B8-188B-4B03-86A5-0C66F43C6917}">
  <ds:schemaRefs/>
</ds:datastoreItem>
</file>

<file path=customXml/itemProps13.xml><?xml version="1.0" encoding="utf-8"?>
<ds:datastoreItem xmlns:ds="http://schemas.openxmlformats.org/officeDocument/2006/customXml" ds:itemID="{22E27EEF-BDD8-4E0C-BB2C-C4E32C9914A0}">
  <ds:schemaRefs/>
</ds:datastoreItem>
</file>

<file path=customXml/itemProps14.xml><?xml version="1.0" encoding="utf-8"?>
<ds:datastoreItem xmlns:ds="http://schemas.openxmlformats.org/officeDocument/2006/customXml" ds:itemID="{DC283ACB-1CBB-4304-B960-32ECE6CA60F1}">
  <ds:schemaRefs/>
</ds:datastoreItem>
</file>

<file path=customXml/itemProps15.xml><?xml version="1.0" encoding="utf-8"?>
<ds:datastoreItem xmlns:ds="http://schemas.openxmlformats.org/officeDocument/2006/customXml" ds:itemID="{9FC10B73-B46C-4AA7-8306-07ABCDEC8268}">
  <ds:schemaRefs/>
</ds:datastoreItem>
</file>

<file path=customXml/itemProps16.xml><?xml version="1.0" encoding="utf-8"?>
<ds:datastoreItem xmlns:ds="http://schemas.openxmlformats.org/officeDocument/2006/customXml" ds:itemID="{C82255EE-B16D-49BF-B5C1-6A8B6A4700DE}">
  <ds:schemaRefs/>
</ds:datastoreItem>
</file>

<file path=customXml/itemProps17.xml><?xml version="1.0" encoding="utf-8"?>
<ds:datastoreItem xmlns:ds="http://schemas.openxmlformats.org/officeDocument/2006/customXml" ds:itemID="{F4748302-FA4E-4AEA-B6B3-738F51246EA5}">
  <ds:schemaRefs/>
</ds:datastoreItem>
</file>

<file path=customXml/itemProps18.xml><?xml version="1.0" encoding="utf-8"?>
<ds:datastoreItem xmlns:ds="http://schemas.openxmlformats.org/officeDocument/2006/customXml" ds:itemID="{D2976F48-E4D4-49C9-A1E3-F4D769763B9D}">
  <ds:schemaRefs/>
</ds:datastoreItem>
</file>

<file path=customXml/itemProps19.xml><?xml version="1.0" encoding="utf-8"?>
<ds:datastoreItem xmlns:ds="http://schemas.openxmlformats.org/officeDocument/2006/customXml" ds:itemID="{5C34264A-D6E0-40B8-9AAB-19475C5EE0CD}">
  <ds:schemaRefs/>
</ds:datastoreItem>
</file>

<file path=customXml/itemProps20.xml><?xml version="1.0" encoding="utf-8"?>
<ds:datastoreItem xmlns:ds="http://schemas.openxmlformats.org/officeDocument/2006/customXml" ds:itemID="{6B8C3351-ECBC-4DBB-85A1-B5B31CEAB2E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47</vt:i4>
      </vt:variant>
    </vt:vector>
  </HeadingPairs>
  <TitlesOfParts>
    <vt:vector size="58" baseType="lpstr">
      <vt:lpstr>FACTURA</vt:lpstr>
      <vt:lpstr>Ticket</vt:lpstr>
      <vt:lpstr>CLIENTES</vt:lpstr>
      <vt:lpstr>METRICAS DIARIO</vt:lpstr>
      <vt:lpstr>VENTAS DIARIO</vt:lpstr>
      <vt:lpstr>Entradas_INVENTARIO</vt:lpstr>
      <vt:lpstr>Entradas_hist</vt:lpstr>
      <vt:lpstr>Salidas_hist</vt:lpstr>
      <vt:lpstr>historico_movimientos</vt:lpstr>
      <vt:lpstr>INVENTARIO ACTUAL</vt:lpstr>
      <vt:lpstr>DESCRIPCION PRODUCTOS</vt:lpstr>
      <vt:lpstr>'VENTAS DIARIO'!categoria_list</vt:lpstr>
      <vt:lpstr>categoria_list</vt:lpstr>
      <vt:lpstr>cliente_id</vt:lpstr>
      <vt:lpstr>cliente_nombre</vt:lpstr>
      <vt:lpstr>F_ciudad</vt:lpstr>
      <vt:lpstr>F_direccion</vt:lpstr>
      <vt:lpstr>F_email</vt:lpstr>
      <vt:lpstr>F_fechavcto</vt:lpstr>
      <vt:lpstr>F_formapago</vt:lpstr>
      <vt:lpstr>F_hora</vt:lpstr>
      <vt:lpstr>F_iva</vt:lpstr>
      <vt:lpstr>F_mediopago</vt:lpstr>
      <vt:lpstr>F_subtotal</vt:lpstr>
      <vt:lpstr>F_telefono</vt:lpstr>
      <vt:lpstr>F_total</vt:lpstr>
      <vt:lpstr>factura_cliente</vt:lpstr>
      <vt:lpstr>factura_date</vt:lpstr>
      <vt:lpstr>factura_id</vt:lpstr>
      <vt:lpstr>factura_ultima</vt:lpstr>
      <vt:lpstr>fecha_inicio</vt:lpstr>
      <vt:lpstr>formas_pago</vt:lpstr>
      <vt:lpstr>ID_Cliente</vt:lpstr>
      <vt:lpstr>'VENTAS DIARIO'!id_product</vt:lpstr>
      <vt:lpstr>id_product</vt:lpstr>
      <vt:lpstr>iva</vt:lpstr>
      <vt:lpstr>medios_pago</vt:lpstr>
      <vt:lpstr>FACTURA!Print_Area</vt:lpstr>
      <vt:lpstr>Ticket!Print_Area</vt:lpstr>
      <vt:lpstr>subtotal</vt:lpstr>
      <vt:lpstr>T_cliente</vt:lpstr>
      <vt:lpstr>T_dcto</vt:lpstr>
      <vt:lpstr>T_email</vt:lpstr>
      <vt:lpstr>T_fecha</vt:lpstr>
      <vt:lpstr>T_fechavcto</vt:lpstr>
      <vt:lpstr>T_formapago</vt:lpstr>
      <vt:lpstr>T_hora</vt:lpstr>
      <vt:lpstr>T_iva</vt:lpstr>
      <vt:lpstr>T_mediopago</vt:lpstr>
      <vt:lpstr>T_nfactura</vt:lpstr>
      <vt:lpstr>T_nit</vt:lpstr>
      <vt:lpstr>T_otroscargos</vt:lpstr>
      <vt:lpstr>T_subtotal</vt:lpstr>
      <vt:lpstr>T_telefono</vt:lpstr>
      <vt:lpstr>T_total</vt:lpstr>
      <vt:lpstr>tk_descripcion</vt:lpstr>
      <vt:lpstr>tk_totaltext</vt:lpstr>
      <vt:lpstr>total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CE</dc:creator>
  <cp:lastModifiedBy>John Alexander Camargo</cp:lastModifiedBy>
  <cp:lastPrinted>2024-05-21T20:32:14Z</cp:lastPrinted>
  <dcterms:created xsi:type="dcterms:W3CDTF">2015-06-05T18:17:20Z</dcterms:created>
  <dcterms:modified xsi:type="dcterms:W3CDTF">2024-06-19T23:27:33Z</dcterms:modified>
</cp:coreProperties>
</file>